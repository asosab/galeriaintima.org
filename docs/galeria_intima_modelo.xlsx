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uestos" sheetId="1" state="visible" r:id="rId3"/>
    <sheet name="Punto de equilibrio" sheetId="2" state="visible" r:id="rId4"/>
    <sheet name="Proyección 24 meses"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2 de los 150 estantes se reservan para intercambio o donación (por ejemplo, gestos de reciprocidad institucional) y no generan cuota.</t>
        </r>
      </text>
    </comment>
    <comment ref="B42" authorId="0">
      <text>
        <r>
          <rPr>
            <sz val="10"/>
            <rFont val="Arial"/>
            <family val="2"/>
          </rPr>
          <t xml:space="preserve">Informativo, consultado en septiembre de 2026. No se usa en los cálculos porque el modelo trabaja íntegramente en USD.</t>
        </r>
      </text>
    </comment>
    <comment ref="B44" authorId="0">
      <text>
        <r>
          <rPr>
            <sz val="10"/>
            <rFont val="Arial"/>
            <family val="2"/>
          </rPr>
          <t xml:space="preserve">Supuesto conservador de planificación (no es un dato oficial): redondea hacia arriba la proyección de inflación 2026 del BCB (9,22%). Los costos operativos de este local (alquiler, electricidad, sueldo) probablemente estén pactados en bolivianos y expuestos a esta inflación, aunque el modelo se exprese en USD. Ajustar con datos reales de los contratos.</t>
        </r>
      </text>
    </comment>
    <comment ref="B48" authorId="0">
      <text>
        <r>
          <rPr>
            <sz val="10"/>
            <rFont val="Arial"/>
            <family val="2"/>
          </rPr>
          <t xml:space="preserve">Peor escenario: se asume 0 apoyos. El proyecto puede recibir apoyos reales más adelante, pero no se cuentan aquí para mantener el cálculo conservador.</t>
        </r>
      </text>
    </comment>
    <comment ref="B53" authorId="0">
      <text>
        <r>
          <rPr>
            <sz val="10"/>
            <rFont val="Arial"/>
            <family val="2"/>
          </rPr>
          <t xml:space="preserve">Monto arbitrario elegido como punto de partida. No incluido en los cálculos financieros del peor escenario.</t>
        </r>
      </text>
    </comment>
    <comment ref="B60" authorId="0">
      <text>
        <r>
          <rPr>
            <sz val="10"/>
            <rFont val="Arial"/>
            <family val="2"/>
          </rPr>
          <t xml:space="preserve">1 mes de alquiler como depósito de garantía. No se cuenta el mes de alquiler 'adelantado' aparte, porque ese mes ya está incluido en los 12 meses de operación (ver 'Necesidad de caja para el año 1').</t>
        </r>
      </text>
    </comment>
    <comment ref="B62" authorId="0">
      <text>
        <r>
          <rPr>
            <sz val="10"/>
            <rFont val="Arial"/>
            <family val="2"/>
          </rPr>
          <t xml:space="preserve">Cotización real: 2 muebles de 60 estantes c/u (120 estantes) por USD 2.336 -&gt; USD 19,47/estante. Triangulado a 150 estantes físicos = USD 2.920. Se construyen los 150 módulos aunque 2 no generen cuota.</t>
        </r>
      </text>
    </comment>
  </commentList>
</comments>
</file>

<file path=xl/sharedStrings.xml><?xml version="1.0" encoding="utf-8"?>
<sst xmlns="http://schemas.openxmlformats.org/spreadsheetml/2006/main" count="109" uniqueCount="106">
  <si>
    <t xml:space="preserve">Supuestos — Galería Íntima (peor escenario: 148 estantes, sin Miedos ni suscripciones, con riesgo cambiario)</t>
  </si>
  <si>
    <t xml:space="preserve">ESTANTES Y CUOTAS</t>
  </si>
  <si>
    <t xml:space="preserve">Número total de estantes (físicos, a construir)</t>
  </si>
  <si>
    <t xml:space="preserve">Estantes reservados para intercambio / donación (no pagan cuota)</t>
  </si>
  <si>
    <t xml:space="preserve">Estantes disponibles para alquiler (base de ingresos)</t>
  </si>
  <si>
    <t xml:space="preserve">Meta de preventa antes de construir e inaugurar (% de los estantes disponibles)</t>
  </si>
  <si>
    <t xml:space="preserve">Estantes meta antes de abrir (pagando)</t>
  </si>
  <si>
    <t xml:space="preserve">Cuota mensual por estante (USD/mes)</t>
  </si>
  <si>
    <t xml:space="preserve">Modalidad de pago</t>
  </si>
  <si>
    <t xml:space="preserve">Anual adelantado (12 meses), única modalidad</t>
  </si>
  <si>
    <t xml:space="preserve">Pago adelantado por estante (USD/año)</t>
  </si>
  <si>
    <t xml:space="preserve">Tamaño del estante (alto x ancho x profundidad, cm)</t>
  </si>
  <si>
    <t xml:space="preserve">35 x 50 x 35</t>
  </si>
  <si>
    <t xml:space="preserve">APERTURA Y CRECIMIENTO POST-APERTURA</t>
  </si>
  <si>
    <t xml:space="preserve">Tasa de renovación anual (%)</t>
  </si>
  <si>
    <t xml:space="preserve">Estantes nuevos por mes tras una salida (crecimiento)</t>
  </si>
  <si>
    <t xml:space="preserve">COSTOS FIJOS MENSUALES (USD)</t>
  </si>
  <si>
    <t xml:space="preserve">Alquiler</t>
  </si>
  <si>
    <t xml:space="preserve">Electricidad</t>
  </si>
  <si>
    <t xml:space="preserve">Internet</t>
  </si>
  <si>
    <t xml:space="preserve">Agua</t>
  </si>
  <si>
    <t xml:space="preserve">Publicidad</t>
  </si>
  <si>
    <t xml:space="preserve">Limpieza</t>
  </si>
  <si>
    <t xml:space="preserve">Mantenimiento del sitio web</t>
  </si>
  <si>
    <t xml:space="preserve">Dominio (prorrateo renovación anual)</t>
  </si>
  <si>
    <t xml:space="preserve">Subtotal servicios + operativos</t>
  </si>
  <si>
    <t xml:space="preserve">Margen de variabilidad (%)</t>
  </si>
  <si>
    <t xml:space="preserve">Margen de variabilidad (USD)</t>
  </si>
  <si>
    <t xml:space="preserve">Sueldo de la coordinadora (USD/mes)</t>
  </si>
  <si>
    <t xml:space="preserve">Total costos fijos mensuales</t>
  </si>
  <si>
    <t xml:space="preserve">RIESGO CAMBIARIO E INFLACIÓN (BOLIVIA)</t>
  </si>
  <si>
    <t xml:space="preserve">Contexto (referencia, no es un input del cálculo):</t>
  </si>
  <si>
    <t xml:space="preserve">   • Desde nov. 2011 hasta fines de 2025, el tipo de cambio oficial estuvo fijo en Bs 6,96/USD (venta).</t>
  </si>
  <si>
    <t xml:space="preserve">   • Entre dic. 2025 y abr. 2026 el BCB inició una flexibilización cambiaria (Valor Referencial del Dólar).</t>
  </si>
  <si>
    <t xml:space="preserve">   • Sept. 2026: tipo de cambio oficial/referencial ≈ Bs 12,60/USD; paralelo ≈ Bs 12,30-12,50/USD (brecha 1-3%).</t>
  </si>
  <si>
    <t xml:space="preserve">   • Inflación 2025 (cierre): 20,4% (una de las más altas en décadas, por escasez de dólares).</t>
  </si>
  <si>
    <t xml:space="preserve">   • Inflación acumulada 2026 (ene-ago, INE): 3,01%; interanual a 12 meses (ago. 2026): 5,02%.</t>
  </si>
  <si>
    <t xml:space="preserve">   • Proyección BCB para el cierre de 2026: 9,22%. Fuentes: BCB, INE (consultado sept. 2026).</t>
  </si>
  <si>
    <t xml:space="preserve">Tipo de cambio de referencia BCB actual (Bs/USD, informativo)</t>
  </si>
  <si>
    <t xml:space="preserve">Inflación anual proyectada 2026 en Bolivia (BCB, informativo)</t>
  </si>
  <si>
    <t xml:space="preserve">Ajuste anual estimado para costos en BOB (alquiler, servicios, sueldo) — supuesto de planificación</t>
  </si>
  <si>
    <t xml:space="preserve">Nota</t>
  </si>
  <si>
    <t xml:space="preserve">La cuota de estante está fijada en USD y se cobra por adelantado para 12 meses; no se ajusta a mitad de ciclo. Conviene revisar el monto de la cuota en cada renovación anual para no perder margen frente a la inflación local.</t>
  </si>
  <si>
    <t xml:space="preserve">ESTANTE DE LOS MIEDOS (excluido del cálculo financiero — peor escenario)</t>
  </si>
  <si>
    <t xml:space="preserve">Apoyos activos (0, 1 o 2)</t>
  </si>
  <si>
    <t xml:space="preserve">Cuota por apoyo (USD/mes, informativo)</t>
  </si>
  <si>
    <t xml:space="preserve">Ingreso mensual por apoyos (informativo, no incluido en los cálculos)</t>
  </si>
  <si>
    <t xml:space="preserve">SUSCRIPCIÓN DE LECTORES (informativo — excluido del cálculo financiero, peor escenario)</t>
  </si>
  <si>
    <t xml:space="preserve">Monto anual de suscripción (USD/año) — provisional</t>
  </si>
  <si>
    <t xml:space="preserve">Plazo máximo de préstamo (días)</t>
  </si>
  <si>
    <t xml:space="preserve">Suscriptores estimados, año 1 (cifra arbitraria, informativo)</t>
  </si>
  <si>
    <t xml:space="preserve">Ingreso anual estimado por suscripciones (informativo, no incluido)</t>
  </si>
  <si>
    <t xml:space="preserve">Ingreso complementario potencial, no incluido en los cálculos de este modelo (peor escenario). Se puede sumar más adelante si se confirma demanda real.</t>
  </si>
  <si>
    <t xml:space="preserve">INVERSIÓN INICIAL (CAPEX: carpintería, mobiliario y puesta en marcha)</t>
  </si>
  <si>
    <t xml:space="preserve">Depósito de garantía (1 mes de alquiler)</t>
  </si>
  <si>
    <t xml:space="preserve">Comisión de inmobiliaria (1 mes de alquiler)</t>
  </si>
  <si>
    <t xml:space="preserve">Carpintería y estantes (150 módulos, 35 x 50 x 35 cm)</t>
  </si>
  <si>
    <t xml:space="preserve">Mesas y sillas plegables</t>
  </si>
  <si>
    <t xml:space="preserve">Iluminación</t>
  </si>
  <si>
    <t xml:space="preserve">Aire acondicionado</t>
  </si>
  <si>
    <t xml:space="preserve">Acabados, pintura y señalética</t>
  </si>
  <si>
    <t xml:space="preserve">Desarrollo del sitio web + tour virtual + sistemas de registro</t>
  </si>
  <si>
    <t xml:space="preserve">Imprevistos y otros</t>
  </si>
  <si>
    <t xml:space="preserve">Total inversión inicial</t>
  </si>
  <si>
    <t xml:space="preserve">Dominio galeriaintima.org (ya pagado, no suma al total)</t>
  </si>
  <si>
    <t xml:space="preserve">NECESIDAD DE CAJA PARA EL AÑO 1 (peor escenario: solo cuotas de estantes)</t>
  </si>
  <si>
    <t xml:space="preserve">Estantes pagando antes de abrir (meta)</t>
  </si>
  <si>
    <t xml:space="preserve">Costos operativos de los primeros 12 meses (USD)</t>
  </si>
  <si>
    <t xml:space="preserve">Inversión inicial / CAPEX (depósito + comisión + equipamiento, sin duplicar el alquiler)</t>
  </si>
  <si>
    <t xml:space="preserve">Necesidad total de caja para el año 1 (CAPEX + 12 meses de operación)</t>
  </si>
  <si>
    <t xml:space="preserve">Ingreso del año 1 (solo cuotas de estante, peor escenario)</t>
  </si>
  <si>
    <t xml:space="preserve">Superávit / Déficit del año 1 (USD)</t>
  </si>
  <si>
    <t xml:space="preserve">¿El año 1 se autofinancia solo con cuotas, en el peor escenario?</t>
  </si>
  <si>
    <t xml:space="preserve">Estantes pagando necesarios para autofinanciar el año 1 completo solo con cuotas</t>
  </si>
  <si>
    <t xml:space="preserve">¿Esa cantidad cabe en los estantes disponibles para alquiler?</t>
  </si>
  <si>
    <t xml:space="preserve">SENSIBILIDAD: COSTOS CON INFLACIÓN LOCAL (año 2, si la cuota no se ajusta)</t>
  </si>
  <si>
    <t xml:space="preserve">Costos fijos mensuales, año 2, ajustados por inflación (USD)</t>
  </si>
  <si>
    <t xml:space="preserve">Superávit mensual año 2 a ocupación plena (148), con costos inflactados y cuota fija en USD 7</t>
  </si>
  <si>
    <t xml:space="preserve">Esta fila compara el mismo mes con costos inflactados vs. la cuota fija de hoy, para dimensionar cuánto se achica el margen si no se revisa la cuota en la renovación anual.</t>
  </si>
  <si>
    <t xml:space="preserve">Punto de equilibrio — Galería Íntima (peor escenario, base: 148 estantes disponibles)</t>
  </si>
  <si>
    <t xml:space="preserve">Estantes necesarios para el equilibrio operativo mensual (solo cuotas, sin Miedos ni suscripciones)</t>
  </si>
  <si>
    <t xml:space="preserve">Estantes necesarios</t>
  </si>
  <si>
    <t xml:space="preserve">Ocupación necesaria (% de los 148 estantes disponibles)</t>
  </si>
  <si>
    <t xml:space="preserve">Escenarios en régimen (ocupación estable, sobre 148 estantes disponibles, solo cuotas)</t>
  </si>
  <si>
    <t xml:space="preserve">Ocupación (%)</t>
  </si>
  <si>
    <t xml:space="preserve">Estantes pagando</t>
  </si>
  <si>
    <t xml:space="preserve">Ingreso por cuotas (USD)</t>
  </si>
  <si>
    <t xml:space="preserve">Costos totales (USD)</t>
  </si>
  <si>
    <t xml:space="preserve">Superávit / Déficit mensual (USD)</t>
  </si>
  <si>
    <t xml:space="preserve">¿Sostenible?</t>
  </si>
  <si>
    <t xml:space="preserve">Proyección mensual — Galería Íntima (24 meses, peor escenario: 148 estantes, solo cuotas)</t>
  </si>
  <si>
    <t xml:space="preserve">Mes</t>
  </si>
  <si>
    <t xml:space="preserve">Estantes ocupados (pagando)</t>
  </si>
  <si>
    <t xml:space="preserve">Costos fijos totales (USD, sin inflación)</t>
  </si>
  <si>
    <t xml:space="preserve">Flujo neto mensual (USD, sin inflación)</t>
  </si>
  <si>
    <t xml:space="preserve">Fondo de reserva acumulado (USD, sin inflación)</t>
  </si>
  <si>
    <t xml:space="preserve">¿Déficit este mes? (sin inflación)</t>
  </si>
  <si>
    <t xml:space="preserve">SENSIBILIDAD: costos con inflación local desde el mes 13 (año 2)</t>
  </si>
  <si>
    <t xml:space="preserve">Costos fijos totales (USD, con inflación desde mes 13)</t>
  </si>
  <si>
    <t xml:space="preserve">Flujo neto mensual (USD, con inflación desde mes 13)</t>
  </si>
  <si>
    <t xml:space="preserve">Fondo de reserva acumulado (USD, con inflación desde mes 13)</t>
  </si>
  <si>
    <t xml:space="preserve">¿Déficit este mes? (con inflación desde mes 13)</t>
  </si>
  <si>
    <t xml:space="preserve">Primer mes con déficit (sin inflación)</t>
  </si>
  <si>
    <t xml:space="preserve">Primer mes con déficit (con inflación desde mes 13)</t>
  </si>
  <si>
    <t xml:space="preserve">Fondo de reserva al mes 24 (USD, sin inflación)</t>
  </si>
  <si>
    <t xml:space="preserve">Fondo de reserva al mes 24 (USD, con inflación desde mes 13)</t>
  </si>
</sst>
</file>

<file path=xl/styles.xml><?xml version="1.0" encoding="utf-8"?>
<styleSheet xmlns="http://schemas.openxmlformats.org/spreadsheetml/2006/main">
  <numFmts count="5">
    <numFmt numFmtId="164" formatCode="General"/>
    <numFmt numFmtId="165" formatCode="0"/>
    <numFmt numFmtId="166" formatCode="0.0%"/>
    <numFmt numFmtId="167" formatCode="\$#,##0.00;&quot;($&quot;#,##0.0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b val="true"/>
      <sz val="11"/>
      <name val="Arial"/>
      <family val="0"/>
      <charset val="1"/>
    </font>
    <font>
      <i val="true"/>
      <sz val="11"/>
      <color rgb="FF808080"/>
      <name val="Arial"/>
      <family val="0"/>
      <charset val="1"/>
    </font>
    <font>
      <sz val="11"/>
      <color rgb="FF008000"/>
      <name val="Arial"/>
      <family val="0"/>
      <charset val="1"/>
    </font>
    <font>
      <sz val="10"/>
      <name val="Arial"/>
      <family val="2"/>
    </font>
  </fonts>
  <fills count="6">
    <fill>
      <patternFill patternType="none"/>
    </fill>
    <fill>
      <patternFill patternType="gray125"/>
    </fill>
    <fill>
      <patternFill patternType="solid">
        <fgColor rgb="FF4472C4"/>
        <bgColor rgb="FF666699"/>
      </patternFill>
    </fill>
    <fill>
      <patternFill patternType="solid">
        <fgColor rgb="FFFFFF00"/>
        <bgColor rgb="FFFFFF00"/>
      </patternFill>
    </fill>
    <fill>
      <patternFill patternType="solid">
        <fgColor rgb="FFFCE4D6"/>
        <bgColor rgb="FFD9E1F2"/>
      </patternFill>
    </fill>
    <fill>
      <patternFill patternType="solid">
        <fgColor rgb="FFD9E1F2"/>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2"/>
  </cols>
  <sheetData>
    <row r="1" customFormat="false" ht="16.15" hidden="false" customHeight="false" outlineLevel="0" collapsed="false">
      <c r="A1" s="1" t="s">
        <v>0</v>
      </c>
    </row>
    <row r="3" customFormat="false" ht="15" hidden="false" customHeight="false" outlineLevel="0" collapsed="false">
      <c r="A3" s="2" t="s">
        <v>1</v>
      </c>
      <c r="B3" s="3"/>
    </row>
    <row r="4" customFormat="false" ht="15" hidden="false" customHeight="false" outlineLevel="0" collapsed="false">
      <c r="A4" s="4" t="s">
        <v>2</v>
      </c>
      <c r="B4" s="5" t="n">
        <v>150</v>
      </c>
    </row>
    <row r="5" customFormat="false" ht="15" hidden="false" customHeight="false" outlineLevel="0" collapsed="false">
      <c r="A5" s="4" t="s">
        <v>3</v>
      </c>
      <c r="B5" s="6" t="n">
        <v>2</v>
      </c>
    </row>
    <row r="6" customFormat="false" ht="15" hidden="false" customHeight="false" outlineLevel="0" collapsed="false">
      <c r="A6" s="7" t="s">
        <v>4</v>
      </c>
      <c r="B6" s="8" t="n">
        <f aca="false">B4-B5</f>
        <v>148</v>
      </c>
    </row>
    <row r="7" customFormat="false" ht="15" hidden="false" customHeight="false" outlineLevel="0" collapsed="false">
      <c r="A7" s="4" t="s">
        <v>5</v>
      </c>
      <c r="B7" s="9" t="n">
        <v>1</v>
      </c>
    </row>
    <row r="8" customFormat="false" ht="15" hidden="false" customHeight="false" outlineLevel="0" collapsed="false">
      <c r="A8" s="7" t="s">
        <v>6</v>
      </c>
      <c r="B8" s="8" t="n">
        <f aca="false">B6*B7</f>
        <v>148</v>
      </c>
    </row>
    <row r="9" customFormat="false" ht="15" hidden="false" customHeight="false" outlineLevel="0" collapsed="false">
      <c r="A9" s="4" t="s">
        <v>7</v>
      </c>
      <c r="B9" s="10" t="n">
        <v>7</v>
      </c>
    </row>
    <row r="10" customFormat="false" ht="15" hidden="false" customHeight="false" outlineLevel="0" collapsed="false">
      <c r="A10" s="4" t="s">
        <v>8</v>
      </c>
      <c r="B10" s="11" t="s">
        <v>9</v>
      </c>
    </row>
    <row r="11" customFormat="false" ht="15" hidden="false" customHeight="false" outlineLevel="0" collapsed="false">
      <c r="A11" s="7" t="s">
        <v>10</v>
      </c>
      <c r="B11" s="12" t="n">
        <f aca="false">B9*12</f>
        <v>84</v>
      </c>
    </row>
    <row r="12" customFormat="false" ht="15" hidden="false" customHeight="false" outlineLevel="0" collapsed="false">
      <c r="A12" s="4" t="s">
        <v>11</v>
      </c>
      <c r="B12" s="11" t="s">
        <v>12</v>
      </c>
    </row>
    <row r="14" customFormat="false" ht="15" hidden="false" customHeight="false" outlineLevel="0" collapsed="false">
      <c r="A14" s="2" t="s">
        <v>13</v>
      </c>
      <c r="B14" s="3"/>
    </row>
    <row r="15" customFormat="false" ht="15" hidden="false" customHeight="false" outlineLevel="0" collapsed="false">
      <c r="A15" s="4" t="s">
        <v>14</v>
      </c>
      <c r="B15" s="9" t="n">
        <v>0.85</v>
      </c>
    </row>
    <row r="16" customFormat="false" ht="15" hidden="false" customHeight="false" outlineLevel="0" collapsed="false">
      <c r="A16" s="4" t="s">
        <v>15</v>
      </c>
      <c r="B16" s="6" t="n">
        <v>5</v>
      </c>
    </row>
    <row r="18" customFormat="false" ht="15" hidden="false" customHeight="false" outlineLevel="0" collapsed="false">
      <c r="A18" s="2" t="s">
        <v>16</v>
      </c>
      <c r="B18" s="3"/>
    </row>
    <row r="19" customFormat="false" ht="15" hidden="false" customHeight="false" outlineLevel="0" collapsed="false">
      <c r="A19" s="4" t="s">
        <v>17</v>
      </c>
      <c r="B19" s="10" t="n">
        <v>220</v>
      </c>
    </row>
    <row r="20" customFormat="false" ht="15" hidden="false" customHeight="false" outlineLevel="0" collapsed="false">
      <c r="A20" s="4" t="s">
        <v>18</v>
      </c>
      <c r="B20" s="10" t="n">
        <v>40</v>
      </c>
    </row>
    <row r="21" customFormat="false" ht="15" hidden="false" customHeight="false" outlineLevel="0" collapsed="false">
      <c r="A21" s="4" t="s">
        <v>19</v>
      </c>
      <c r="B21" s="10" t="n">
        <v>16</v>
      </c>
    </row>
    <row r="22" customFormat="false" ht="15" hidden="false" customHeight="false" outlineLevel="0" collapsed="false">
      <c r="A22" s="4" t="s">
        <v>20</v>
      </c>
      <c r="B22" s="10" t="n">
        <v>10</v>
      </c>
    </row>
    <row r="23" customFormat="false" ht="15" hidden="false" customHeight="false" outlineLevel="0" collapsed="false">
      <c r="A23" s="4" t="s">
        <v>21</v>
      </c>
      <c r="B23" s="10" t="n">
        <v>10</v>
      </c>
    </row>
    <row r="24" customFormat="false" ht="15" hidden="false" customHeight="false" outlineLevel="0" collapsed="false">
      <c r="A24" s="4" t="s">
        <v>22</v>
      </c>
      <c r="B24" s="10" t="n">
        <v>30</v>
      </c>
    </row>
    <row r="25" customFormat="false" ht="15" hidden="false" customHeight="false" outlineLevel="0" collapsed="false">
      <c r="A25" s="4" t="s">
        <v>23</v>
      </c>
      <c r="B25" s="10" t="n">
        <v>15</v>
      </c>
    </row>
    <row r="26" customFormat="false" ht="15" hidden="false" customHeight="false" outlineLevel="0" collapsed="false">
      <c r="A26" s="4" t="s">
        <v>24</v>
      </c>
      <c r="B26" s="10" t="n">
        <v>1.25</v>
      </c>
    </row>
    <row r="27" customFormat="false" ht="15" hidden="false" customHeight="false" outlineLevel="0" collapsed="false">
      <c r="A27" s="7" t="s">
        <v>25</v>
      </c>
      <c r="B27" s="12" t="n">
        <f aca="false">SUM(B19:B26)</f>
        <v>342.25</v>
      </c>
    </row>
    <row r="28" customFormat="false" ht="15" hidden="false" customHeight="false" outlineLevel="0" collapsed="false">
      <c r="A28" s="4" t="s">
        <v>26</v>
      </c>
      <c r="B28" s="13" t="n">
        <v>0.1</v>
      </c>
    </row>
    <row r="29" customFormat="false" ht="15" hidden="false" customHeight="false" outlineLevel="0" collapsed="false">
      <c r="A29" s="4" t="s">
        <v>27</v>
      </c>
      <c r="B29" s="14" t="n">
        <f aca="false">B27*B28</f>
        <v>34.225</v>
      </c>
    </row>
    <row r="30" customFormat="false" ht="15" hidden="false" customHeight="false" outlineLevel="0" collapsed="false">
      <c r="A30" s="4" t="s">
        <v>28</v>
      </c>
      <c r="B30" s="10" t="n">
        <v>370</v>
      </c>
    </row>
    <row r="31" customFormat="false" ht="15" hidden="false" customHeight="false" outlineLevel="0" collapsed="false">
      <c r="A31" s="7" t="s">
        <v>29</v>
      </c>
      <c r="B31" s="12" t="n">
        <f aca="false">B27+B29+B30</f>
        <v>746.475</v>
      </c>
    </row>
    <row r="33" customFormat="false" ht="15" hidden="false" customHeight="false" outlineLevel="0" collapsed="false">
      <c r="A33" s="2" t="s">
        <v>30</v>
      </c>
      <c r="B33" s="3"/>
    </row>
    <row r="34" customFormat="false" ht="15" hidden="false" customHeight="false" outlineLevel="0" collapsed="false">
      <c r="A34" s="15" t="s">
        <v>31</v>
      </c>
    </row>
    <row r="35" customFormat="false" ht="26.85" hidden="false" customHeight="false" outlineLevel="0" collapsed="false">
      <c r="A35" s="16" t="s">
        <v>32</v>
      </c>
    </row>
    <row r="36" customFormat="false" ht="26.85" hidden="false" customHeight="false" outlineLevel="0" collapsed="false">
      <c r="A36" s="16" t="s">
        <v>33</v>
      </c>
    </row>
    <row r="37" customFormat="false" ht="26.85" hidden="false" customHeight="false" outlineLevel="0" collapsed="false">
      <c r="A37" s="16" t="s">
        <v>34</v>
      </c>
    </row>
    <row r="38" customFormat="false" ht="26.85" hidden="false" customHeight="false" outlineLevel="0" collapsed="false">
      <c r="A38" s="16" t="s">
        <v>35</v>
      </c>
    </row>
    <row r="39" customFormat="false" ht="26.85" hidden="false" customHeight="false" outlineLevel="0" collapsed="false">
      <c r="A39" s="16" t="s">
        <v>36</v>
      </c>
    </row>
    <row r="40" customFormat="false" ht="26.85" hidden="false" customHeight="false" outlineLevel="0" collapsed="false">
      <c r="A40" s="16" t="s">
        <v>37</v>
      </c>
    </row>
    <row r="42" customFormat="false" ht="15" hidden="false" customHeight="false" outlineLevel="0" collapsed="false">
      <c r="A42" s="4" t="s">
        <v>38</v>
      </c>
      <c r="B42" s="17" t="n">
        <v>12.6</v>
      </c>
    </row>
    <row r="43" customFormat="false" ht="15" hidden="false" customHeight="false" outlineLevel="0" collapsed="false">
      <c r="A43" s="4" t="s">
        <v>39</v>
      </c>
      <c r="B43" s="18" t="n">
        <v>0.0922</v>
      </c>
    </row>
    <row r="44" customFormat="false" ht="15" hidden="false" customHeight="false" outlineLevel="0" collapsed="false">
      <c r="A44" s="4" t="s">
        <v>40</v>
      </c>
      <c r="B44" s="9" t="n">
        <v>0.1</v>
      </c>
    </row>
    <row r="45" customFormat="false" ht="153.7" hidden="false" customHeight="false" outlineLevel="0" collapsed="false">
      <c r="A45" s="15" t="s">
        <v>41</v>
      </c>
      <c r="B45" s="16" t="s">
        <v>42</v>
      </c>
    </row>
    <row r="47" customFormat="false" ht="15" hidden="false" customHeight="false" outlineLevel="0" collapsed="false">
      <c r="A47" s="2" t="s">
        <v>43</v>
      </c>
      <c r="B47" s="3"/>
    </row>
    <row r="48" customFormat="false" ht="15" hidden="false" customHeight="false" outlineLevel="0" collapsed="false">
      <c r="A48" s="4" t="s">
        <v>44</v>
      </c>
      <c r="B48" s="6" t="n">
        <v>0</v>
      </c>
    </row>
    <row r="49" customFormat="false" ht="15" hidden="false" customHeight="false" outlineLevel="0" collapsed="false">
      <c r="A49" s="4" t="s">
        <v>45</v>
      </c>
      <c r="B49" s="10" t="n">
        <v>15</v>
      </c>
    </row>
    <row r="50" customFormat="false" ht="15" hidden="false" customHeight="false" outlineLevel="0" collapsed="false">
      <c r="A50" s="15" t="s">
        <v>46</v>
      </c>
      <c r="B50" s="19" t="n">
        <f aca="false">B48*B49</f>
        <v>0</v>
      </c>
    </row>
    <row r="52" customFormat="false" ht="15" hidden="false" customHeight="false" outlineLevel="0" collapsed="false">
      <c r="A52" s="2" t="s">
        <v>47</v>
      </c>
      <c r="B52" s="3"/>
    </row>
    <row r="53" customFormat="false" ht="15" hidden="false" customHeight="false" outlineLevel="0" collapsed="false">
      <c r="A53" s="4" t="s">
        <v>48</v>
      </c>
      <c r="B53" s="20" t="n">
        <v>10</v>
      </c>
    </row>
    <row r="54" customFormat="false" ht="15" hidden="false" customHeight="false" outlineLevel="0" collapsed="false">
      <c r="A54" s="4" t="s">
        <v>49</v>
      </c>
      <c r="B54" s="5" t="n">
        <v>14</v>
      </c>
    </row>
    <row r="55" customFormat="false" ht="15" hidden="false" customHeight="false" outlineLevel="0" collapsed="false">
      <c r="A55" s="4" t="s">
        <v>50</v>
      </c>
      <c r="B55" s="6" t="n">
        <v>30</v>
      </c>
    </row>
    <row r="56" customFormat="false" ht="15" hidden="false" customHeight="false" outlineLevel="0" collapsed="false">
      <c r="A56" s="15" t="s">
        <v>51</v>
      </c>
      <c r="B56" s="19" t="n">
        <f aca="false">B53*B55</f>
        <v>300</v>
      </c>
    </row>
    <row r="57" customFormat="false" ht="115.65" hidden="false" customHeight="false" outlineLevel="0" collapsed="false">
      <c r="A57" s="4" t="s">
        <v>41</v>
      </c>
      <c r="B57" s="16" t="s">
        <v>52</v>
      </c>
    </row>
    <row r="59" customFormat="false" ht="15" hidden="false" customHeight="false" outlineLevel="0" collapsed="false">
      <c r="A59" s="2" t="s">
        <v>53</v>
      </c>
      <c r="B59" s="3"/>
    </row>
    <row r="60" customFormat="false" ht="15" hidden="false" customHeight="false" outlineLevel="0" collapsed="false">
      <c r="A60" s="4" t="s">
        <v>54</v>
      </c>
      <c r="B60" s="10" t="n">
        <v>220</v>
      </c>
    </row>
    <row r="61" customFormat="false" ht="15" hidden="false" customHeight="false" outlineLevel="0" collapsed="false">
      <c r="A61" s="4" t="s">
        <v>55</v>
      </c>
      <c r="B61" s="10" t="n">
        <v>220</v>
      </c>
    </row>
    <row r="62" customFormat="false" ht="15" hidden="false" customHeight="false" outlineLevel="0" collapsed="false">
      <c r="A62" s="4" t="s">
        <v>56</v>
      </c>
      <c r="B62" s="20" t="n">
        <v>2920</v>
      </c>
    </row>
    <row r="63" customFormat="false" ht="15" hidden="false" customHeight="false" outlineLevel="0" collapsed="false">
      <c r="A63" s="4" t="s">
        <v>57</v>
      </c>
      <c r="B63" s="10" t="n">
        <v>600</v>
      </c>
    </row>
    <row r="64" customFormat="false" ht="15" hidden="false" customHeight="false" outlineLevel="0" collapsed="false">
      <c r="A64" s="4" t="s">
        <v>58</v>
      </c>
      <c r="B64" s="10" t="n">
        <v>700</v>
      </c>
    </row>
    <row r="65" customFormat="false" ht="15" hidden="false" customHeight="false" outlineLevel="0" collapsed="false">
      <c r="A65" s="4" t="s">
        <v>59</v>
      </c>
      <c r="B65" s="10" t="n">
        <v>900</v>
      </c>
    </row>
    <row r="66" customFormat="false" ht="15" hidden="false" customHeight="false" outlineLevel="0" collapsed="false">
      <c r="A66" s="4" t="s">
        <v>60</v>
      </c>
      <c r="B66" s="10" t="n">
        <v>400</v>
      </c>
    </row>
    <row r="67" customFormat="false" ht="15" hidden="false" customHeight="false" outlineLevel="0" collapsed="false">
      <c r="A67" s="4" t="s">
        <v>61</v>
      </c>
      <c r="B67" s="10" t="n">
        <v>800</v>
      </c>
    </row>
    <row r="68" customFormat="false" ht="15" hidden="false" customHeight="false" outlineLevel="0" collapsed="false">
      <c r="A68" s="4" t="s">
        <v>62</v>
      </c>
      <c r="B68" s="10" t="n">
        <v>300</v>
      </c>
    </row>
    <row r="69" customFormat="false" ht="15" hidden="false" customHeight="false" outlineLevel="0" collapsed="false">
      <c r="A69" s="7" t="s">
        <v>63</v>
      </c>
      <c r="B69" s="12" t="n">
        <f aca="false">SUM(B60:B68)</f>
        <v>7060</v>
      </c>
    </row>
    <row r="70" customFormat="false" ht="15" hidden="false" customHeight="false" outlineLevel="0" collapsed="false">
      <c r="A70" s="4" t="s">
        <v>64</v>
      </c>
      <c r="B70" s="10" t="n">
        <v>8.18</v>
      </c>
    </row>
    <row r="72" customFormat="false" ht="15" hidden="false" customHeight="false" outlineLevel="0" collapsed="false">
      <c r="A72" s="2" t="s">
        <v>65</v>
      </c>
      <c r="B72" s="3"/>
    </row>
    <row r="73" customFormat="false" ht="15" hidden="false" customHeight="false" outlineLevel="0" collapsed="false">
      <c r="A73" s="4" t="s">
        <v>66</v>
      </c>
      <c r="B73" s="21" t="n">
        <f aca="false">B8</f>
        <v>148</v>
      </c>
    </row>
    <row r="74" customFormat="false" ht="15" hidden="false" customHeight="false" outlineLevel="0" collapsed="false">
      <c r="A74" s="4" t="s">
        <v>67</v>
      </c>
      <c r="B74" s="14" t="n">
        <f aca="false">B31*12</f>
        <v>8957.7</v>
      </c>
    </row>
    <row r="75" customFormat="false" ht="15" hidden="false" customHeight="false" outlineLevel="0" collapsed="false">
      <c r="A75" s="4" t="s">
        <v>68</v>
      </c>
      <c r="B75" s="14" t="n">
        <f aca="false">B69</f>
        <v>7060</v>
      </c>
    </row>
    <row r="76" customFormat="false" ht="15" hidden="false" customHeight="false" outlineLevel="0" collapsed="false">
      <c r="A76" s="7" t="s">
        <v>69</v>
      </c>
      <c r="B76" s="12" t="n">
        <f aca="false">B74+B75</f>
        <v>16017.7</v>
      </c>
    </row>
    <row r="78" customFormat="false" ht="15" hidden="false" customHeight="false" outlineLevel="0" collapsed="false">
      <c r="A78" s="7" t="s">
        <v>70</v>
      </c>
      <c r="B78" s="12" t="n">
        <f aca="false">B73*B11</f>
        <v>12432</v>
      </c>
    </row>
    <row r="80" customFormat="false" ht="15" hidden="false" customHeight="false" outlineLevel="0" collapsed="false">
      <c r="A80" s="7" t="s">
        <v>71</v>
      </c>
      <c r="B80" s="12" t="n">
        <f aca="false">B78-B76</f>
        <v>-3585.7</v>
      </c>
    </row>
    <row r="81" customFormat="false" ht="15" hidden="false" customHeight="false" outlineLevel="0" collapsed="false">
      <c r="A81" s="7" t="s">
        <v>72</v>
      </c>
      <c r="B81" s="7" t="str">
        <f aca="false">IF(B80&gt;=0,"Sí","No")</f>
        <v>No</v>
      </c>
    </row>
    <row r="83" customFormat="false" ht="15" hidden="false" customHeight="false" outlineLevel="0" collapsed="false">
      <c r="A83" s="4" t="s">
        <v>73</v>
      </c>
      <c r="B83" s="22" t="n">
        <f aca="false">ROUNDUP(B76/B11,0)</f>
        <v>191</v>
      </c>
    </row>
    <row r="84" customFormat="false" ht="15" hidden="false" customHeight="false" outlineLevel="0" collapsed="false">
      <c r="A84" s="4" t="s">
        <v>74</v>
      </c>
      <c r="B84" s="4" t="str">
        <f aca="false">IF(B83&lt;=B6,"Sí","No — supera la capacidad de estantes en alquiler")</f>
        <v>No — supera la capacidad de estantes en alquiler</v>
      </c>
    </row>
    <row r="86" customFormat="false" ht="15" hidden="false" customHeight="false" outlineLevel="0" collapsed="false">
      <c r="A86" s="2" t="s">
        <v>75</v>
      </c>
      <c r="B86" s="3"/>
    </row>
    <row r="87" customFormat="false" ht="15" hidden="false" customHeight="false" outlineLevel="0" collapsed="false">
      <c r="A87" s="4" t="s">
        <v>76</v>
      </c>
      <c r="B87" s="23" t="n">
        <f aca="false">B31*(1+B44)</f>
        <v>821.1225</v>
      </c>
    </row>
    <row r="88" customFormat="false" ht="15" hidden="false" customHeight="false" outlineLevel="0" collapsed="false">
      <c r="A88" s="4" t="s">
        <v>77</v>
      </c>
      <c r="B88" s="23" t="n">
        <f aca="false">B6*B9-B87</f>
        <v>214.8775</v>
      </c>
    </row>
    <row r="89" customFormat="false" ht="102.95" hidden="false" customHeight="false" outlineLevel="0" collapsed="false">
      <c r="A89" s="15" t="s">
        <v>41</v>
      </c>
      <c r="B89" s="16"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7" min="1" style="0" width="22"/>
  </cols>
  <sheetData>
    <row r="1" customFormat="false" ht="16.15" hidden="false" customHeight="false" outlineLevel="0" collapsed="false">
      <c r="A1" s="1" t="s">
        <v>79</v>
      </c>
    </row>
    <row r="3" customFormat="false" ht="15" hidden="false" customHeight="false" outlineLevel="0" collapsed="false">
      <c r="A3" s="7" t="s">
        <v>80</v>
      </c>
    </row>
    <row r="4" customFormat="false" ht="15" hidden="false" customHeight="false" outlineLevel="0" collapsed="false">
      <c r="A4" s="24" t="s">
        <v>81</v>
      </c>
      <c r="B4" s="22" t="n">
        <f aca="false">ROUNDUP(Supuestos!$B$31/Supuestos!$B$9,0)</f>
        <v>107</v>
      </c>
    </row>
    <row r="5" customFormat="false" ht="15" hidden="false" customHeight="false" outlineLevel="0" collapsed="false">
      <c r="A5" s="7" t="s">
        <v>82</v>
      </c>
      <c r="B5" s="25" t="n">
        <f aca="false">B4/Supuestos!$B$6</f>
        <v>0.722972972972973</v>
      </c>
    </row>
    <row r="7" customFormat="false" ht="15" hidden="false" customHeight="false" outlineLevel="0" collapsed="false">
      <c r="A7" s="7" t="s">
        <v>83</v>
      </c>
    </row>
    <row r="8" customFormat="false" ht="15" hidden="false" customHeight="false" outlineLevel="0" collapsed="false">
      <c r="A8" s="24" t="s">
        <v>84</v>
      </c>
      <c r="B8" s="24" t="s">
        <v>85</v>
      </c>
      <c r="C8" s="24" t="s">
        <v>86</v>
      </c>
      <c r="D8" s="24" t="s">
        <v>87</v>
      </c>
      <c r="E8" s="24" t="s">
        <v>88</v>
      </c>
      <c r="F8" s="24" t="s">
        <v>89</v>
      </c>
    </row>
    <row r="9" customFormat="false" ht="15" hidden="false" customHeight="false" outlineLevel="0" collapsed="false">
      <c r="A9" s="26" t="n">
        <v>0.4</v>
      </c>
      <c r="B9" s="22" t="n">
        <f aca="false">ROUND(A9*Supuestos!$B$6,0)</f>
        <v>59</v>
      </c>
      <c r="C9" s="23" t="n">
        <f aca="false">B9*Supuestos!$B$9</f>
        <v>413</v>
      </c>
      <c r="D9" s="23" t="n">
        <f aca="false">Supuestos!$B$31</f>
        <v>746.475</v>
      </c>
      <c r="E9" s="14" t="n">
        <f aca="false">C9-D9</f>
        <v>-333.475</v>
      </c>
      <c r="F9" s="4" t="str">
        <f aca="false">IF(E9&gt;=0,"Sí","No")</f>
        <v>No</v>
      </c>
    </row>
    <row r="10" customFormat="false" ht="15" hidden="false" customHeight="false" outlineLevel="0" collapsed="false">
      <c r="A10" s="26" t="n">
        <v>0.5</v>
      </c>
      <c r="B10" s="22" t="n">
        <f aca="false">ROUND(A10*Supuestos!$B$6,0)</f>
        <v>74</v>
      </c>
      <c r="C10" s="23" t="n">
        <f aca="false">B10*Supuestos!$B$9</f>
        <v>518</v>
      </c>
      <c r="D10" s="23" t="n">
        <f aca="false">Supuestos!$B$31</f>
        <v>746.475</v>
      </c>
      <c r="E10" s="14" t="n">
        <f aca="false">C10-D10</f>
        <v>-228.475</v>
      </c>
      <c r="F10" s="4" t="str">
        <f aca="false">IF(E10&gt;=0,"Sí","No")</f>
        <v>No</v>
      </c>
    </row>
    <row r="11" customFormat="false" ht="15" hidden="false" customHeight="false" outlineLevel="0" collapsed="false">
      <c r="A11" s="26" t="n">
        <v>0.6</v>
      </c>
      <c r="B11" s="22" t="n">
        <f aca="false">ROUND(A11*Supuestos!$B$6,0)</f>
        <v>89</v>
      </c>
      <c r="C11" s="23" t="n">
        <f aca="false">B11*Supuestos!$B$9</f>
        <v>623</v>
      </c>
      <c r="D11" s="23" t="n">
        <f aca="false">Supuestos!$B$31</f>
        <v>746.475</v>
      </c>
      <c r="E11" s="14" t="n">
        <f aca="false">C11-D11</f>
        <v>-123.475</v>
      </c>
      <c r="F11" s="4" t="str">
        <f aca="false">IF(E11&gt;=0,"Sí","No")</f>
        <v>No</v>
      </c>
    </row>
    <row r="12" customFormat="false" ht="15" hidden="false" customHeight="false" outlineLevel="0" collapsed="false">
      <c r="A12" s="26" t="n">
        <v>0.7</v>
      </c>
      <c r="B12" s="22" t="n">
        <f aca="false">ROUND(A12*Supuestos!$B$6,0)</f>
        <v>104</v>
      </c>
      <c r="C12" s="23" t="n">
        <f aca="false">B12*Supuestos!$B$9</f>
        <v>728</v>
      </c>
      <c r="D12" s="23" t="n">
        <f aca="false">Supuestos!$B$31</f>
        <v>746.475</v>
      </c>
      <c r="E12" s="14" t="n">
        <f aca="false">C12-D12</f>
        <v>-18.475</v>
      </c>
      <c r="F12" s="4" t="str">
        <f aca="false">IF(E12&gt;=0,"Sí","No")</f>
        <v>No</v>
      </c>
    </row>
    <row r="13" customFormat="false" ht="15" hidden="false" customHeight="false" outlineLevel="0" collapsed="false">
      <c r="A13" s="26" t="n">
        <v>0.8</v>
      </c>
      <c r="B13" s="22" t="n">
        <f aca="false">ROUND(A13*Supuestos!$B$6,0)</f>
        <v>118</v>
      </c>
      <c r="C13" s="23" t="n">
        <f aca="false">B13*Supuestos!$B$9</f>
        <v>826</v>
      </c>
      <c r="D13" s="23" t="n">
        <f aca="false">Supuestos!$B$31</f>
        <v>746.475</v>
      </c>
      <c r="E13" s="14" t="n">
        <f aca="false">C13-D13</f>
        <v>79.525</v>
      </c>
      <c r="F13" s="4" t="str">
        <f aca="false">IF(E13&gt;=0,"Sí","No")</f>
        <v>Sí</v>
      </c>
    </row>
    <row r="14" customFormat="false" ht="15" hidden="false" customHeight="false" outlineLevel="0" collapsed="false">
      <c r="A14" s="26" t="n">
        <v>0.9</v>
      </c>
      <c r="B14" s="22" t="n">
        <f aca="false">ROUND(A14*Supuestos!$B$6,0)</f>
        <v>133</v>
      </c>
      <c r="C14" s="23" t="n">
        <f aca="false">B14*Supuestos!$B$9</f>
        <v>931</v>
      </c>
      <c r="D14" s="23" t="n">
        <f aca="false">Supuestos!$B$31</f>
        <v>746.475</v>
      </c>
      <c r="E14" s="14" t="n">
        <f aca="false">C14-D14</f>
        <v>184.525</v>
      </c>
      <c r="F14" s="4" t="str">
        <f aca="false">IF(E14&gt;=0,"Sí","No")</f>
        <v>Sí</v>
      </c>
    </row>
    <row r="15" customFormat="false" ht="15" hidden="false" customHeight="false" outlineLevel="0" collapsed="false">
      <c r="A15" s="26" t="n">
        <v>1</v>
      </c>
      <c r="B15" s="22" t="n">
        <f aca="false">ROUND(A15*Supuestos!$B$6,0)</f>
        <v>148</v>
      </c>
      <c r="C15" s="23" t="n">
        <f aca="false">B15*Supuestos!$B$9</f>
        <v>1036</v>
      </c>
      <c r="D15" s="23" t="n">
        <f aca="false">Supuestos!$B$31</f>
        <v>746.475</v>
      </c>
      <c r="E15" s="14" t="n">
        <f aca="false">C15-D15</f>
        <v>289.525</v>
      </c>
      <c r="F15" s="4" t="str">
        <f aca="false">IF(E15&gt;=0,"Sí","No")</f>
        <v>Sí</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5" min="2" style="0" width="11"/>
  </cols>
  <sheetData>
    <row r="1" customFormat="false" ht="16.15" hidden="false" customHeight="false" outlineLevel="0" collapsed="false">
      <c r="A1" s="1" t="s">
        <v>90</v>
      </c>
    </row>
    <row r="3" customFormat="false" ht="15" hidden="false" customHeight="false" outlineLevel="0" collapsed="false">
      <c r="A3" s="7" t="s">
        <v>91</v>
      </c>
      <c r="B3" s="7" t="n">
        <v>1</v>
      </c>
      <c r="C3" s="7" t="n">
        <v>2</v>
      </c>
      <c r="D3" s="7" t="n">
        <v>3</v>
      </c>
      <c r="E3" s="7" t="n">
        <v>4</v>
      </c>
      <c r="F3" s="7" t="n">
        <v>5</v>
      </c>
      <c r="G3" s="7" t="n">
        <v>6</v>
      </c>
      <c r="H3" s="7" t="n">
        <v>7</v>
      </c>
      <c r="I3" s="7" t="n">
        <v>8</v>
      </c>
      <c r="J3" s="7" t="n">
        <v>9</v>
      </c>
      <c r="K3" s="7" t="n">
        <v>10</v>
      </c>
      <c r="L3" s="7" t="n">
        <v>11</v>
      </c>
      <c r="M3" s="7" t="n">
        <v>12</v>
      </c>
      <c r="N3" s="7" t="n">
        <v>13</v>
      </c>
      <c r="O3" s="7" t="n">
        <v>14</v>
      </c>
      <c r="P3" s="7" t="n">
        <v>15</v>
      </c>
      <c r="Q3" s="7" t="n">
        <v>16</v>
      </c>
      <c r="R3" s="7" t="n">
        <v>17</v>
      </c>
      <c r="S3" s="7" t="n">
        <v>18</v>
      </c>
      <c r="T3" s="7" t="n">
        <v>19</v>
      </c>
      <c r="U3" s="7" t="n">
        <v>20</v>
      </c>
      <c r="V3" s="7" t="n">
        <v>21</v>
      </c>
      <c r="W3" s="7" t="n">
        <v>22</v>
      </c>
      <c r="X3" s="7" t="n">
        <v>23</v>
      </c>
      <c r="Y3" s="7" t="n">
        <v>24</v>
      </c>
    </row>
    <row r="4" customFormat="false" ht="15" hidden="false" customHeight="false" outlineLevel="0" collapsed="false">
      <c r="A4" s="7" t="s">
        <v>92</v>
      </c>
      <c r="B4" s="22" t="n">
        <f aca="false">Supuestos!$B$8</f>
        <v>148</v>
      </c>
      <c r="C4" s="22" t="n">
        <f aca="false">B4</f>
        <v>148</v>
      </c>
      <c r="D4" s="22" t="n">
        <f aca="false">C4</f>
        <v>148</v>
      </c>
      <c r="E4" s="22" t="n">
        <f aca="false">D4</f>
        <v>148</v>
      </c>
      <c r="F4" s="22" t="n">
        <f aca="false">E4</f>
        <v>148</v>
      </c>
      <c r="G4" s="22" t="n">
        <f aca="false">F4</f>
        <v>148</v>
      </c>
      <c r="H4" s="22" t="n">
        <f aca="false">G4</f>
        <v>148</v>
      </c>
      <c r="I4" s="22" t="n">
        <f aca="false">H4</f>
        <v>148</v>
      </c>
      <c r="J4" s="22" t="n">
        <f aca="false">I4</f>
        <v>148</v>
      </c>
      <c r="K4" s="22" t="n">
        <f aca="false">J4</f>
        <v>148</v>
      </c>
      <c r="L4" s="22" t="n">
        <f aca="false">K4</f>
        <v>148</v>
      </c>
      <c r="M4" s="22" t="n">
        <f aca="false">L4</f>
        <v>148</v>
      </c>
      <c r="N4" s="22" t="n">
        <f aca="false">ROUND(M4*Supuestos!$B$15,0)</f>
        <v>126</v>
      </c>
      <c r="O4" s="22" t="n">
        <f aca="false">MIN(Supuestos!$B$6,N4+Supuestos!$B$16)</f>
        <v>131</v>
      </c>
      <c r="P4" s="22" t="n">
        <f aca="false">MIN(Supuestos!$B$6,O4+Supuestos!$B$16)</f>
        <v>136</v>
      </c>
      <c r="Q4" s="22" t="n">
        <f aca="false">MIN(Supuestos!$B$6,P4+Supuestos!$B$16)</f>
        <v>141</v>
      </c>
      <c r="R4" s="22" t="n">
        <f aca="false">MIN(Supuestos!$B$6,Q4+Supuestos!$B$16)</f>
        <v>146</v>
      </c>
      <c r="S4" s="22" t="n">
        <f aca="false">MIN(Supuestos!$B$6,R4+Supuestos!$B$16)</f>
        <v>148</v>
      </c>
      <c r="T4" s="22" t="n">
        <f aca="false">MIN(Supuestos!$B$6,S4+Supuestos!$B$16)</f>
        <v>148</v>
      </c>
      <c r="U4" s="22" t="n">
        <f aca="false">MIN(Supuestos!$B$6,T4+Supuestos!$B$16)</f>
        <v>148</v>
      </c>
      <c r="V4" s="22" t="n">
        <f aca="false">MIN(Supuestos!$B$6,U4+Supuestos!$B$16)</f>
        <v>148</v>
      </c>
      <c r="W4" s="22" t="n">
        <f aca="false">MIN(Supuestos!$B$6,V4+Supuestos!$B$16)</f>
        <v>148</v>
      </c>
      <c r="X4" s="22" t="n">
        <f aca="false">MIN(Supuestos!$B$6,W4+Supuestos!$B$16)</f>
        <v>148</v>
      </c>
      <c r="Y4" s="22" t="n">
        <f aca="false">MIN(Supuestos!$B$6,X4+Supuestos!$B$16)</f>
        <v>148</v>
      </c>
    </row>
    <row r="5" customFormat="false" ht="15" hidden="false" customHeight="false" outlineLevel="0" collapsed="false">
      <c r="A5" s="7" t="s">
        <v>86</v>
      </c>
      <c r="B5" s="23" t="n">
        <f aca="false">B4*Supuestos!$B$9</f>
        <v>1036</v>
      </c>
      <c r="C5" s="23" t="n">
        <f aca="false">C4*Supuestos!$B$9</f>
        <v>1036</v>
      </c>
      <c r="D5" s="23" t="n">
        <f aca="false">D4*Supuestos!$B$9</f>
        <v>1036</v>
      </c>
      <c r="E5" s="23" t="n">
        <f aca="false">E4*Supuestos!$B$9</f>
        <v>1036</v>
      </c>
      <c r="F5" s="23" t="n">
        <f aca="false">F4*Supuestos!$B$9</f>
        <v>1036</v>
      </c>
      <c r="G5" s="23" t="n">
        <f aca="false">G4*Supuestos!$B$9</f>
        <v>1036</v>
      </c>
      <c r="H5" s="23" t="n">
        <f aca="false">H4*Supuestos!$B$9</f>
        <v>1036</v>
      </c>
      <c r="I5" s="23" t="n">
        <f aca="false">I4*Supuestos!$B$9</f>
        <v>1036</v>
      </c>
      <c r="J5" s="23" t="n">
        <f aca="false">J4*Supuestos!$B$9</f>
        <v>1036</v>
      </c>
      <c r="K5" s="23" t="n">
        <f aca="false">K4*Supuestos!$B$9</f>
        <v>1036</v>
      </c>
      <c r="L5" s="23" t="n">
        <f aca="false">L4*Supuestos!$B$9</f>
        <v>1036</v>
      </c>
      <c r="M5" s="23" t="n">
        <f aca="false">M4*Supuestos!$B$9</f>
        <v>1036</v>
      </c>
      <c r="N5" s="23" t="n">
        <f aca="false">N4*Supuestos!$B$9</f>
        <v>882</v>
      </c>
      <c r="O5" s="23" t="n">
        <f aca="false">O4*Supuestos!$B$9</f>
        <v>917</v>
      </c>
      <c r="P5" s="23" t="n">
        <f aca="false">P4*Supuestos!$B$9</f>
        <v>952</v>
      </c>
      <c r="Q5" s="23" t="n">
        <f aca="false">Q4*Supuestos!$B$9</f>
        <v>987</v>
      </c>
      <c r="R5" s="23" t="n">
        <f aca="false">R4*Supuestos!$B$9</f>
        <v>1022</v>
      </c>
      <c r="S5" s="23" t="n">
        <f aca="false">S4*Supuestos!$B$9</f>
        <v>1036</v>
      </c>
      <c r="T5" s="23" t="n">
        <f aca="false">T4*Supuestos!$B$9</f>
        <v>1036</v>
      </c>
      <c r="U5" s="23" t="n">
        <f aca="false">U4*Supuestos!$B$9</f>
        <v>1036</v>
      </c>
      <c r="V5" s="23" t="n">
        <f aca="false">V4*Supuestos!$B$9</f>
        <v>1036</v>
      </c>
      <c r="W5" s="23" t="n">
        <f aca="false">W4*Supuestos!$B$9</f>
        <v>1036</v>
      </c>
      <c r="X5" s="23" t="n">
        <f aca="false">X4*Supuestos!$B$9</f>
        <v>1036</v>
      </c>
      <c r="Y5" s="23" t="n">
        <f aca="false">Y4*Supuestos!$B$9</f>
        <v>1036</v>
      </c>
    </row>
    <row r="6" customFormat="false" ht="15" hidden="false" customHeight="false" outlineLevel="0" collapsed="false">
      <c r="A6" s="7" t="s">
        <v>93</v>
      </c>
      <c r="B6" s="23" t="n">
        <f aca="false">Supuestos!$B$31</f>
        <v>746.475</v>
      </c>
      <c r="C6" s="23" t="n">
        <f aca="false">Supuestos!$B$31</f>
        <v>746.475</v>
      </c>
      <c r="D6" s="23" t="n">
        <f aca="false">Supuestos!$B$31</f>
        <v>746.475</v>
      </c>
      <c r="E6" s="23" t="n">
        <f aca="false">Supuestos!$B$31</f>
        <v>746.475</v>
      </c>
      <c r="F6" s="23" t="n">
        <f aca="false">Supuestos!$B$31</f>
        <v>746.475</v>
      </c>
      <c r="G6" s="23" t="n">
        <f aca="false">Supuestos!$B$31</f>
        <v>746.475</v>
      </c>
      <c r="H6" s="23" t="n">
        <f aca="false">Supuestos!$B$31</f>
        <v>746.475</v>
      </c>
      <c r="I6" s="23" t="n">
        <f aca="false">Supuestos!$B$31</f>
        <v>746.475</v>
      </c>
      <c r="J6" s="23" t="n">
        <f aca="false">Supuestos!$B$31</f>
        <v>746.475</v>
      </c>
      <c r="K6" s="23" t="n">
        <f aca="false">Supuestos!$B$31</f>
        <v>746.475</v>
      </c>
      <c r="L6" s="23" t="n">
        <f aca="false">Supuestos!$B$31</f>
        <v>746.475</v>
      </c>
      <c r="M6" s="23" t="n">
        <f aca="false">Supuestos!$B$31</f>
        <v>746.475</v>
      </c>
      <c r="N6" s="23" t="n">
        <f aca="false">Supuestos!$B$31</f>
        <v>746.475</v>
      </c>
      <c r="O6" s="23" t="n">
        <f aca="false">Supuestos!$B$31</f>
        <v>746.475</v>
      </c>
      <c r="P6" s="23" t="n">
        <f aca="false">Supuestos!$B$31</f>
        <v>746.475</v>
      </c>
      <c r="Q6" s="23" t="n">
        <f aca="false">Supuestos!$B$31</f>
        <v>746.475</v>
      </c>
      <c r="R6" s="23" t="n">
        <f aca="false">Supuestos!$B$31</f>
        <v>746.475</v>
      </c>
      <c r="S6" s="23" t="n">
        <f aca="false">Supuestos!$B$31</f>
        <v>746.475</v>
      </c>
      <c r="T6" s="23" t="n">
        <f aca="false">Supuestos!$B$31</f>
        <v>746.475</v>
      </c>
      <c r="U6" s="23" t="n">
        <f aca="false">Supuestos!$B$31</f>
        <v>746.475</v>
      </c>
      <c r="V6" s="23" t="n">
        <f aca="false">Supuestos!$B$31</f>
        <v>746.475</v>
      </c>
      <c r="W6" s="23" t="n">
        <f aca="false">Supuestos!$B$31</f>
        <v>746.475</v>
      </c>
      <c r="X6" s="23" t="n">
        <f aca="false">Supuestos!$B$31</f>
        <v>746.475</v>
      </c>
      <c r="Y6" s="23" t="n">
        <f aca="false">Supuestos!$B$31</f>
        <v>746.475</v>
      </c>
    </row>
    <row r="7" customFormat="false" ht="15" hidden="false" customHeight="false" outlineLevel="0" collapsed="false">
      <c r="A7" s="7" t="s">
        <v>94</v>
      </c>
      <c r="B7" s="14" t="n">
        <f aca="false">B5-B6</f>
        <v>289.525</v>
      </c>
      <c r="C7" s="14" t="n">
        <f aca="false">C5-C6</f>
        <v>289.525</v>
      </c>
      <c r="D7" s="14" t="n">
        <f aca="false">D5-D6</f>
        <v>289.525</v>
      </c>
      <c r="E7" s="14" t="n">
        <f aca="false">E5-E6</f>
        <v>289.525</v>
      </c>
      <c r="F7" s="14" t="n">
        <f aca="false">F5-F6</f>
        <v>289.525</v>
      </c>
      <c r="G7" s="14" t="n">
        <f aca="false">G5-G6</f>
        <v>289.525</v>
      </c>
      <c r="H7" s="14" t="n">
        <f aca="false">H5-H6</f>
        <v>289.525</v>
      </c>
      <c r="I7" s="14" t="n">
        <f aca="false">I5-I6</f>
        <v>289.525</v>
      </c>
      <c r="J7" s="14" t="n">
        <f aca="false">J5-J6</f>
        <v>289.525</v>
      </c>
      <c r="K7" s="14" t="n">
        <f aca="false">K5-K6</f>
        <v>289.525</v>
      </c>
      <c r="L7" s="14" t="n">
        <f aca="false">L5-L6</f>
        <v>289.525</v>
      </c>
      <c r="M7" s="14" t="n">
        <f aca="false">M5-M6</f>
        <v>289.525</v>
      </c>
      <c r="N7" s="14" t="n">
        <f aca="false">N5-N6</f>
        <v>135.525</v>
      </c>
      <c r="O7" s="14" t="n">
        <f aca="false">O5-O6</f>
        <v>170.525</v>
      </c>
      <c r="P7" s="14" t="n">
        <f aca="false">P5-P6</f>
        <v>205.525</v>
      </c>
      <c r="Q7" s="14" t="n">
        <f aca="false">Q5-Q6</f>
        <v>240.525</v>
      </c>
      <c r="R7" s="14" t="n">
        <f aca="false">R5-R6</f>
        <v>275.525</v>
      </c>
      <c r="S7" s="14" t="n">
        <f aca="false">S5-S6</f>
        <v>289.525</v>
      </c>
      <c r="T7" s="14" t="n">
        <f aca="false">T5-T6</f>
        <v>289.525</v>
      </c>
      <c r="U7" s="14" t="n">
        <f aca="false">U5-U6</f>
        <v>289.525</v>
      </c>
      <c r="V7" s="14" t="n">
        <f aca="false">V5-V6</f>
        <v>289.525</v>
      </c>
      <c r="W7" s="14" t="n">
        <f aca="false">W5-W6</f>
        <v>289.525</v>
      </c>
      <c r="X7" s="14" t="n">
        <f aca="false">X5-X6</f>
        <v>289.525</v>
      </c>
      <c r="Y7" s="14" t="n">
        <f aca="false">Y5-Y6</f>
        <v>289.525</v>
      </c>
    </row>
    <row r="8" customFormat="false" ht="15" hidden="false" customHeight="false" outlineLevel="0" collapsed="false">
      <c r="A8" s="7" t="s">
        <v>95</v>
      </c>
      <c r="B8" s="14" t="n">
        <f aca="false">B7</f>
        <v>289.525</v>
      </c>
      <c r="C8" s="14" t="n">
        <f aca="false">B8+C7</f>
        <v>579.05</v>
      </c>
      <c r="D8" s="14" t="n">
        <f aca="false">C8+D7</f>
        <v>868.575</v>
      </c>
      <c r="E8" s="14" t="n">
        <f aca="false">D8+E7</f>
        <v>1158.1</v>
      </c>
      <c r="F8" s="14" t="n">
        <f aca="false">E8+F7</f>
        <v>1447.625</v>
      </c>
      <c r="G8" s="14" t="n">
        <f aca="false">F8+G7</f>
        <v>1737.15</v>
      </c>
      <c r="H8" s="14" t="n">
        <f aca="false">G8+H7</f>
        <v>2026.675</v>
      </c>
      <c r="I8" s="14" t="n">
        <f aca="false">H8+I7</f>
        <v>2316.2</v>
      </c>
      <c r="J8" s="14" t="n">
        <f aca="false">I8+J7</f>
        <v>2605.725</v>
      </c>
      <c r="K8" s="14" t="n">
        <f aca="false">J8+K7</f>
        <v>2895.25</v>
      </c>
      <c r="L8" s="14" t="n">
        <f aca="false">K8+L7</f>
        <v>3184.775</v>
      </c>
      <c r="M8" s="14" t="n">
        <f aca="false">L8+M7</f>
        <v>3474.3</v>
      </c>
      <c r="N8" s="14" t="n">
        <f aca="false">M8+N7</f>
        <v>3609.825</v>
      </c>
      <c r="O8" s="14" t="n">
        <f aca="false">N8+O7</f>
        <v>3780.35</v>
      </c>
      <c r="P8" s="14" t="n">
        <f aca="false">O8+P7</f>
        <v>3985.875</v>
      </c>
      <c r="Q8" s="14" t="n">
        <f aca="false">P8+Q7</f>
        <v>4226.4</v>
      </c>
      <c r="R8" s="14" t="n">
        <f aca="false">Q8+R7</f>
        <v>4501.925</v>
      </c>
      <c r="S8" s="14" t="n">
        <f aca="false">R8+S7</f>
        <v>4791.45</v>
      </c>
      <c r="T8" s="14" t="n">
        <f aca="false">S8+T7</f>
        <v>5080.975</v>
      </c>
      <c r="U8" s="14" t="n">
        <f aca="false">T8+U7</f>
        <v>5370.5</v>
      </c>
      <c r="V8" s="14" t="n">
        <f aca="false">U8+V7</f>
        <v>5660.025</v>
      </c>
      <c r="W8" s="14" t="n">
        <f aca="false">V8+W7</f>
        <v>5949.55</v>
      </c>
      <c r="X8" s="14" t="n">
        <f aca="false">W8+X7</f>
        <v>6239.075</v>
      </c>
      <c r="Y8" s="14" t="n">
        <f aca="false">X8+Y7</f>
        <v>6528.6</v>
      </c>
    </row>
    <row r="9" customFormat="false" ht="15" hidden="false" customHeight="false" outlineLevel="0" collapsed="false">
      <c r="A9" s="7" t="s">
        <v>96</v>
      </c>
      <c r="B9" s="4" t="str">
        <f aca="false">IF(B7&lt;0,"SI","NO")</f>
        <v>NO</v>
      </c>
      <c r="C9" s="4" t="str">
        <f aca="false">IF(C7&lt;0,"SI","NO")</f>
        <v>NO</v>
      </c>
      <c r="D9" s="4" t="str">
        <f aca="false">IF(D7&lt;0,"SI","NO")</f>
        <v>NO</v>
      </c>
      <c r="E9" s="4" t="str">
        <f aca="false">IF(E7&lt;0,"SI","NO")</f>
        <v>NO</v>
      </c>
      <c r="F9" s="4" t="str">
        <f aca="false">IF(F7&lt;0,"SI","NO")</f>
        <v>NO</v>
      </c>
      <c r="G9" s="4" t="str">
        <f aca="false">IF(G7&lt;0,"SI","NO")</f>
        <v>NO</v>
      </c>
      <c r="H9" s="4" t="str">
        <f aca="false">IF(H7&lt;0,"SI","NO")</f>
        <v>NO</v>
      </c>
      <c r="I9" s="4" t="str">
        <f aca="false">IF(I7&lt;0,"SI","NO")</f>
        <v>NO</v>
      </c>
      <c r="J9" s="4" t="str">
        <f aca="false">IF(J7&lt;0,"SI","NO")</f>
        <v>NO</v>
      </c>
      <c r="K9" s="4" t="str">
        <f aca="false">IF(K7&lt;0,"SI","NO")</f>
        <v>NO</v>
      </c>
      <c r="L9" s="4" t="str">
        <f aca="false">IF(L7&lt;0,"SI","NO")</f>
        <v>NO</v>
      </c>
      <c r="M9" s="4" t="str">
        <f aca="false">IF(M7&lt;0,"SI","NO")</f>
        <v>NO</v>
      </c>
      <c r="N9" s="4" t="str">
        <f aca="false">IF(N7&lt;0,"SI","NO")</f>
        <v>NO</v>
      </c>
      <c r="O9" s="4" t="str">
        <f aca="false">IF(O7&lt;0,"SI","NO")</f>
        <v>NO</v>
      </c>
      <c r="P9" s="4" t="str">
        <f aca="false">IF(P7&lt;0,"SI","NO")</f>
        <v>NO</v>
      </c>
      <c r="Q9" s="4" t="str">
        <f aca="false">IF(Q7&lt;0,"SI","NO")</f>
        <v>NO</v>
      </c>
      <c r="R9" s="4" t="str">
        <f aca="false">IF(R7&lt;0,"SI","NO")</f>
        <v>NO</v>
      </c>
      <c r="S9" s="4" t="str">
        <f aca="false">IF(S7&lt;0,"SI","NO")</f>
        <v>NO</v>
      </c>
      <c r="T9" s="4" t="str">
        <f aca="false">IF(T7&lt;0,"SI","NO")</f>
        <v>NO</v>
      </c>
      <c r="U9" s="4" t="str">
        <f aca="false">IF(U7&lt;0,"SI","NO")</f>
        <v>NO</v>
      </c>
      <c r="V9" s="4" t="str">
        <f aca="false">IF(V7&lt;0,"SI","NO")</f>
        <v>NO</v>
      </c>
      <c r="W9" s="4" t="str">
        <f aca="false">IF(W7&lt;0,"SI","NO")</f>
        <v>NO</v>
      </c>
      <c r="X9" s="4" t="str">
        <f aca="false">IF(X7&lt;0,"SI","NO")</f>
        <v>NO</v>
      </c>
      <c r="Y9" s="4" t="str">
        <f aca="false">IF(Y7&lt;0,"SI","NO")</f>
        <v>NO</v>
      </c>
    </row>
    <row r="11" customFormat="false" ht="15" hidden="false" customHeight="false" outlineLevel="0" collapsed="false">
      <c r="A11" s="27" t="s">
        <v>97</v>
      </c>
    </row>
    <row r="12" customFormat="false" ht="15" hidden="false" customHeight="false" outlineLevel="0" collapsed="false">
      <c r="A12" s="7" t="s">
        <v>98</v>
      </c>
      <c r="B12" s="23" t="n">
        <f aca="false">B6</f>
        <v>746.475</v>
      </c>
      <c r="C12" s="23" t="n">
        <f aca="false">C6</f>
        <v>746.475</v>
      </c>
      <c r="D12" s="23" t="n">
        <f aca="false">D6</f>
        <v>746.475</v>
      </c>
      <c r="E12" s="23" t="n">
        <f aca="false">E6</f>
        <v>746.475</v>
      </c>
      <c r="F12" s="23" t="n">
        <f aca="false">F6</f>
        <v>746.475</v>
      </c>
      <c r="G12" s="23" t="n">
        <f aca="false">G6</f>
        <v>746.475</v>
      </c>
      <c r="H12" s="23" t="n">
        <f aca="false">H6</f>
        <v>746.475</v>
      </c>
      <c r="I12" s="23" t="n">
        <f aca="false">I6</f>
        <v>746.475</v>
      </c>
      <c r="J12" s="23" t="n">
        <f aca="false">J6</f>
        <v>746.475</v>
      </c>
      <c r="K12" s="23" t="n">
        <f aca="false">K6</f>
        <v>746.475</v>
      </c>
      <c r="L12" s="23" t="n">
        <f aca="false">L6</f>
        <v>746.475</v>
      </c>
      <c r="M12" s="23" t="n">
        <f aca="false">M6</f>
        <v>746.475</v>
      </c>
      <c r="N12" s="23" t="n">
        <f aca="false">Supuestos!$B$31*(1+Supuestos!$B$44)</f>
        <v>821.1225</v>
      </c>
      <c r="O12" s="23" t="n">
        <f aca="false">Supuestos!$B$31*(1+Supuestos!$B$44)</f>
        <v>821.1225</v>
      </c>
      <c r="P12" s="23" t="n">
        <f aca="false">Supuestos!$B$31*(1+Supuestos!$B$44)</f>
        <v>821.1225</v>
      </c>
      <c r="Q12" s="23" t="n">
        <f aca="false">Supuestos!$B$31*(1+Supuestos!$B$44)</f>
        <v>821.1225</v>
      </c>
      <c r="R12" s="23" t="n">
        <f aca="false">Supuestos!$B$31*(1+Supuestos!$B$44)</f>
        <v>821.1225</v>
      </c>
      <c r="S12" s="23" t="n">
        <f aca="false">Supuestos!$B$31*(1+Supuestos!$B$44)</f>
        <v>821.1225</v>
      </c>
      <c r="T12" s="23" t="n">
        <f aca="false">Supuestos!$B$31*(1+Supuestos!$B$44)</f>
        <v>821.1225</v>
      </c>
      <c r="U12" s="23" t="n">
        <f aca="false">Supuestos!$B$31*(1+Supuestos!$B$44)</f>
        <v>821.1225</v>
      </c>
      <c r="V12" s="23" t="n">
        <f aca="false">Supuestos!$B$31*(1+Supuestos!$B$44)</f>
        <v>821.1225</v>
      </c>
      <c r="W12" s="23" t="n">
        <f aca="false">Supuestos!$B$31*(1+Supuestos!$B$44)</f>
        <v>821.1225</v>
      </c>
      <c r="X12" s="23" t="n">
        <f aca="false">Supuestos!$B$31*(1+Supuestos!$B$44)</f>
        <v>821.1225</v>
      </c>
      <c r="Y12" s="23" t="n">
        <f aca="false">Supuestos!$B$31*(1+Supuestos!$B$44)</f>
        <v>821.1225</v>
      </c>
    </row>
    <row r="13" customFormat="false" ht="15" hidden="false" customHeight="false" outlineLevel="0" collapsed="false">
      <c r="A13" s="7" t="s">
        <v>99</v>
      </c>
      <c r="B13" s="14" t="n">
        <f aca="false">B5-B12</f>
        <v>289.525</v>
      </c>
      <c r="C13" s="14" t="n">
        <f aca="false">C5-C12</f>
        <v>289.525</v>
      </c>
      <c r="D13" s="14" t="n">
        <f aca="false">D5-D12</f>
        <v>289.525</v>
      </c>
      <c r="E13" s="14" t="n">
        <f aca="false">E5-E12</f>
        <v>289.525</v>
      </c>
      <c r="F13" s="14" t="n">
        <f aca="false">F5-F12</f>
        <v>289.525</v>
      </c>
      <c r="G13" s="14" t="n">
        <f aca="false">G5-G12</f>
        <v>289.525</v>
      </c>
      <c r="H13" s="14" t="n">
        <f aca="false">H5-H12</f>
        <v>289.525</v>
      </c>
      <c r="I13" s="14" t="n">
        <f aca="false">I5-I12</f>
        <v>289.525</v>
      </c>
      <c r="J13" s="14" t="n">
        <f aca="false">J5-J12</f>
        <v>289.525</v>
      </c>
      <c r="K13" s="14" t="n">
        <f aca="false">K5-K12</f>
        <v>289.525</v>
      </c>
      <c r="L13" s="14" t="n">
        <f aca="false">L5-L12</f>
        <v>289.525</v>
      </c>
      <c r="M13" s="14" t="n">
        <f aca="false">M5-M12</f>
        <v>289.525</v>
      </c>
      <c r="N13" s="14" t="n">
        <f aca="false">N5-N12</f>
        <v>60.8774999999999</v>
      </c>
      <c r="O13" s="14" t="n">
        <f aca="false">O5-O12</f>
        <v>95.8774999999999</v>
      </c>
      <c r="P13" s="14" t="n">
        <f aca="false">P5-P12</f>
        <v>130.8775</v>
      </c>
      <c r="Q13" s="14" t="n">
        <f aca="false">Q5-Q12</f>
        <v>165.8775</v>
      </c>
      <c r="R13" s="14" t="n">
        <f aca="false">R5-R12</f>
        <v>200.8775</v>
      </c>
      <c r="S13" s="14" t="n">
        <f aca="false">S5-S12</f>
        <v>214.8775</v>
      </c>
      <c r="T13" s="14" t="n">
        <f aca="false">T5-T12</f>
        <v>214.8775</v>
      </c>
      <c r="U13" s="14" t="n">
        <f aca="false">U5-U12</f>
        <v>214.8775</v>
      </c>
      <c r="V13" s="14" t="n">
        <f aca="false">V5-V12</f>
        <v>214.8775</v>
      </c>
      <c r="W13" s="14" t="n">
        <f aca="false">W5-W12</f>
        <v>214.8775</v>
      </c>
      <c r="X13" s="14" t="n">
        <f aca="false">X5-X12</f>
        <v>214.8775</v>
      </c>
      <c r="Y13" s="14" t="n">
        <f aca="false">Y5-Y12</f>
        <v>214.8775</v>
      </c>
    </row>
    <row r="14" customFormat="false" ht="15" hidden="false" customHeight="false" outlineLevel="0" collapsed="false">
      <c r="A14" s="7" t="s">
        <v>100</v>
      </c>
      <c r="B14" s="14" t="n">
        <f aca="false">B13</f>
        <v>289.525</v>
      </c>
      <c r="C14" s="14" t="n">
        <f aca="false">B14+C13</f>
        <v>579.05</v>
      </c>
      <c r="D14" s="14" t="n">
        <f aca="false">C14+D13</f>
        <v>868.575</v>
      </c>
      <c r="E14" s="14" t="n">
        <f aca="false">D14+E13</f>
        <v>1158.1</v>
      </c>
      <c r="F14" s="14" t="n">
        <f aca="false">E14+F13</f>
        <v>1447.625</v>
      </c>
      <c r="G14" s="14" t="n">
        <f aca="false">F14+G13</f>
        <v>1737.15</v>
      </c>
      <c r="H14" s="14" t="n">
        <f aca="false">G14+H13</f>
        <v>2026.675</v>
      </c>
      <c r="I14" s="14" t="n">
        <f aca="false">H14+I13</f>
        <v>2316.2</v>
      </c>
      <c r="J14" s="14" t="n">
        <f aca="false">I14+J13</f>
        <v>2605.725</v>
      </c>
      <c r="K14" s="14" t="n">
        <f aca="false">J14+K13</f>
        <v>2895.25</v>
      </c>
      <c r="L14" s="14" t="n">
        <f aca="false">K14+L13</f>
        <v>3184.775</v>
      </c>
      <c r="M14" s="14" t="n">
        <f aca="false">L14+M13</f>
        <v>3474.3</v>
      </c>
      <c r="N14" s="14" t="n">
        <f aca="false">M14+N13</f>
        <v>3535.1775</v>
      </c>
      <c r="O14" s="14" t="n">
        <f aca="false">N14+O13</f>
        <v>3631.055</v>
      </c>
      <c r="P14" s="14" t="n">
        <f aca="false">O14+P13</f>
        <v>3761.9325</v>
      </c>
      <c r="Q14" s="14" t="n">
        <f aca="false">P14+Q13</f>
        <v>3927.81</v>
      </c>
      <c r="R14" s="14" t="n">
        <f aca="false">Q14+R13</f>
        <v>4128.6875</v>
      </c>
      <c r="S14" s="14" t="n">
        <f aca="false">R14+S13</f>
        <v>4343.565</v>
      </c>
      <c r="T14" s="14" t="n">
        <f aca="false">S14+T13</f>
        <v>4558.4425</v>
      </c>
      <c r="U14" s="14" t="n">
        <f aca="false">T14+U13</f>
        <v>4773.32</v>
      </c>
      <c r="V14" s="14" t="n">
        <f aca="false">U14+V13</f>
        <v>4988.1975</v>
      </c>
      <c r="W14" s="14" t="n">
        <f aca="false">V14+W13</f>
        <v>5203.075</v>
      </c>
      <c r="X14" s="14" t="n">
        <f aca="false">W14+X13</f>
        <v>5417.9525</v>
      </c>
      <c r="Y14" s="14" t="n">
        <f aca="false">X14+Y13</f>
        <v>5632.83</v>
      </c>
    </row>
    <row r="15" customFormat="false" ht="15" hidden="false" customHeight="false" outlineLevel="0" collapsed="false">
      <c r="A15" s="7" t="s">
        <v>101</v>
      </c>
      <c r="B15" s="4" t="str">
        <f aca="false">IF(B13&lt;0,"SI","NO")</f>
        <v>NO</v>
      </c>
      <c r="C15" s="4" t="str">
        <f aca="false">IF(C13&lt;0,"SI","NO")</f>
        <v>NO</v>
      </c>
      <c r="D15" s="4" t="str">
        <f aca="false">IF(D13&lt;0,"SI","NO")</f>
        <v>NO</v>
      </c>
      <c r="E15" s="4" t="str">
        <f aca="false">IF(E13&lt;0,"SI","NO")</f>
        <v>NO</v>
      </c>
      <c r="F15" s="4" t="str">
        <f aca="false">IF(F13&lt;0,"SI","NO")</f>
        <v>NO</v>
      </c>
      <c r="G15" s="4" t="str">
        <f aca="false">IF(G13&lt;0,"SI","NO")</f>
        <v>NO</v>
      </c>
      <c r="H15" s="4" t="str">
        <f aca="false">IF(H13&lt;0,"SI","NO")</f>
        <v>NO</v>
      </c>
      <c r="I15" s="4" t="str">
        <f aca="false">IF(I13&lt;0,"SI","NO")</f>
        <v>NO</v>
      </c>
      <c r="J15" s="4" t="str">
        <f aca="false">IF(J13&lt;0,"SI","NO")</f>
        <v>NO</v>
      </c>
      <c r="K15" s="4" t="str">
        <f aca="false">IF(K13&lt;0,"SI","NO")</f>
        <v>NO</v>
      </c>
      <c r="L15" s="4" t="str">
        <f aca="false">IF(L13&lt;0,"SI","NO")</f>
        <v>NO</v>
      </c>
      <c r="M15" s="4" t="str">
        <f aca="false">IF(M13&lt;0,"SI","NO")</f>
        <v>NO</v>
      </c>
      <c r="N15" s="4" t="str">
        <f aca="false">IF(N13&lt;0,"SI","NO")</f>
        <v>NO</v>
      </c>
      <c r="O15" s="4" t="str">
        <f aca="false">IF(O13&lt;0,"SI","NO")</f>
        <v>NO</v>
      </c>
      <c r="P15" s="4" t="str">
        <f aca="false">IF(P13&lt;0,"SI","NO")</f>
        <v>NO</v>
      </c>
      <c r="Q15" s="4" t="str">
        <f aca="false">IF(Q13&lt;0,"SI","NO")</f>
        <v>NO</v>
      </c>
      <c r="R15" s="4" t="str">
        <f aca="false">IF(R13&lt;0,"SI","NO")</f>
        <v>NO</v>
      </c>
      <c r="S15" s="4" t="str">
        <f aca="false">IF(S13&lt;0,"SI","NO")</f>
        <v>NO</v>
      </c>
      <c r="T15" s="4" t="str">
        <f aca="false">IF(T13&lt;0,"SI","NO")</f>
        <v>NO</v>
      </c>
      <c r="U15" s="4" t="str">
        <f aca="false">IF(U13&lt;0,"SI","NO")</f>
        <v>NO</v>
      </c>
      <c r="V15" s="4" t="str">
        <f aca="false">IF(V13&lt;0,"SI","NO")</f>
        <v>NO</v>
      </c>
      <c r="W15" s="4" t="str">
        <f aca="false">IF(W13&lt;0,"SI","NO")</f>
        <v>NO</v>
      </c>
      <c r="X15" s="4" t="str">
        <f aca="false">IF(X13&lt;0,"SI","NO")</f>
        <v>NO</v>
      </c>
      <c r="Y15" s="4" t="str">
        <f aca="false">IF(Y13&lt;0,"SI","NO")</f>
        <v>NO</v>
      </c>
    </row>
    <row r="17" customFormat="false" ht="15" hidden="false" customHeight="false" outlineLevel="0" collapsed="false">
      <c r="A17" s="7" t="s">
        <v>102</v>
      </c>
      <c r="B17" s="0" t="str">
        <f aca="false">IFERROR(MATCH("SI",B9:Y9,0),"Ninguno (sin déficit en 24 meses)")</f>
        <v>Ninguno (sin déficit en 24 meses)</v>
      </c>
    </row>
    <row r="18" customFormat="false" ht="15" hidden="false" customHeight="false" outlineLevel="0" collapsed="false">
      <c r="A18" s="7" t="s">
        <v>103</v>
      </c>
      <c r="B18" s="0" t="str">
        <f aca="false">IFERROR(MATCH("SI",B15:Y15,0),"Ninguno (sin déficit en 24 meses)")</f>
        <v>Ninguno (sin déficit en 24 meses)</v>
      </c>
    </row>
    <row r="19" customFormat="false" ht="15" hidden="false" customHeight="false" outlineLevel="0" collapsed="false">
      <c r="A19" s="7" t="s">
        <v>104</v>
      </c>
      <c r="B19" s="28" t="n">
        <f aca="false">Y8</f>
        <v>6528.6</v>
      </c>
    </row>
    <row r="20" customFormat="false" ht="15" hidden="false" customHeight="false" outlineLevel="0" collapsed="false">
      <c r="A20" s="7" t="s">
        <v>105</v>
      </c>
      <c r="B20" s="28" t="n">
        <f aca="false">Y14</f>
        <v>5632.83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2026-09-10T11:56:56Z</dcterms:created>
  <dc:creator>openpyxl</dc:creator>
  <dc:description/>
  <dc:language>en-US</dc:language>
  <cp:lastModifiedBy/>
  <dcterms:modified xsi:type="dcterms:W3CDTF">2026-09-10T11:57:28Z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