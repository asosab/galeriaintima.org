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puestos" sheetId="1" r:id="rId4"/>
    <sheet state="visible" name="Punto de equilibrio" sheetId="2" r:id="rId5"/>
    <sheet state="visible" name="Proyección 24 meses" sheetId="3" r:id="rId6"/>
  </sheets>
  <definedNames/>
  <calcPr/>
  <extLst>
    <ext uri="GoogleSheetsCustomDataVersion2">
      <go:sheetsCustomData xmlns:go="http://customooxmlschemas.google.com/" r:id="rId7" roundtripDataChecksum="x3dyW6N5craGtEx2hE4d+9YX+G2PrCjs2JHEOdkCAF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50">
      <text>
        <t xml:space="preserve">======
ID#AAACC1jmkPM
Unknown Author    (2026-09-10 21:02:58)
Supuesto conservador de planificación (no es un dato oficial): redondea hacia arriba la proyección de inflación 2026 del BCB (9,22%). Ajustar con datos reales de los contratos.</t>
      </text>
    </comment>
    <comment authorId="0" ref="B66">
      <text>
        <t xml:space="preserve">======
ID#AAACC1jmkO8
Unknown Author    (2026-09-10 21:02:58)
1 mes de alquiler como depósito de garantía. No se cuenta el mes de alquiler 'adelantado' aparte, porque ese mes ya está incluido en los 12 meses de operación (ver 'Necesidad de caja para el año 1').</t>
      </text>
    </comment>
    <comment authorId="0" ref="B48">
      <text>
        <t xml:space="preserve">======
ID#AAACC1jmkPQ
Unknown Author    (2026-09-10 21:02:58)
Informativo, consultado en septiembre de 2026. No se usa en los cálculos porque el modelo trabaja íntegramente en USD.</t>
      </text>
    </comment>
    <comment authorId="0" ref="B59">
      <text>
        <t xml:space="preserve">======
ID#AAACC1jmkO0
Unknown Author    (2026-09-10 21:02:58)
Monto arbitrario elegido como punto de partida. No incluido en los cálculos financieros del peor escenario.</t>
      </text>
    </comment>
    <comment authorId="0" ref="B54">
      <text>
        <t xml:space="preserve">======
ID#AAACC1jmkPA
Unknown Author    (2026-09-10 21:02:58)
Peor escenario: se asume 0 apoyos. El proyecto puede recibir apoyos reales más adelante, pero no se cuentan aquí para mantener el cálculo conservador.</t>
      </text>
    </comment>
    <comment authorId="0" ref="B69">
      <text>
        <t xml:space="preserve">======
ID#AAACC1jmkPE
Unknown Author    (2026-09-10 21:02:58)
Cotización real: 2 muebles de 60 estantes c/u (120 estantes) por USD 2.336 -&gt; USD 19,47/estante. Triangulado a 150 estantes físicos = USD 2.920. Se construyen los 150 módulos aunque 2 no generen cuota.</t>
      </text>
    </comment>
    <comment authorId="0" ref="B5">
      <text>
        <t xml:space="preserve">======
ID#AAACC1jmkO4
Unknown Author    (2026-09-10 21:02:58)
2 de los 150 estantes se reservan para intercambio o donación (por ejemplo, gestos de reciprocidad institucional) y no generan cuota.</t>
      </text>
    </comment>
    <comment authorId="0" ref="B68">
      <text>
        <t xml:space="preserve">======
ID#AAACC1jmkOw
Unknown Author    (2026-09-10 21:02:58)
Compra única del dispensador. El costo recurrente del botellón semanal se cuenta en Costos Fijos Mensuales, no aquí.</t>
      </text>
    </comment>
    <comment authorId="0" ref="B19">
      <text>
        <t xml:space="preserve">======
ID#AAACC1jmkPI
Unknown Author    (2026-09-10 21:02:58)
Costo semanal de un botellón de agua para el dispensador Villa Santa.</t>
      </text>
    </comment>
  </commentList>
  <extLst>
    <ext uri="GoogleSheetsCustomDataVersion2">
      <go:sheetsCustomData xmlns:go="http://customooxmlschemas.google.com/" r:id="rId1" roundtripDataSignature="AMtx7mjU4fi3NbU0ewRvNMaCHHuqqChBfg=="/>
    </ext>
  </extLst>
</comments>
</file>

<file path=xl/sharedStrings.xml><?xml version="1.0" encoding="utf-8"?>
<sst xmlns="http://schemas.openxmlformats.org/spreadsheetml/2006/main" count="116" uniqueCount="113">
  <si>
    <t>Proyección mensual — Galería Íntima (24 meses, peor escenario: 148 estantes, solo cuotas)</t>
  </si>
  <si>
    <t>Supuestos — Galería Íntima (peor escenario: 148 estantes, cuota USD 9, sin Miedos ni suscripciones)</t>
  </si>
  <si>
    <t>Punto de equilibrio — Galería Íntima (peor escenario, base: 148 estantes disponibles)</t>
  </si>
  <si>
    <t>Mes</t>
  </si>
  <si>
    <t>Estantes necesarios para el equilibrio operativo mensual (solo cuotas, sin Miedos ni suscripciones)</t>
  </si>
  <si>
    <t>ESTANTES Y CUOTAS</t>
  </si>
  <si>
    <t>Estantes necesarios</t>
  </si>
  <si>
    <t>Número total de estantes (físicos, a construir)</t>
  </si>
  <si>
    <t>Estantes reservados para intercambio / donación (no pagan cuota)</t>
  </si>
  <si>
    <t>Estantes disponibles para alquiler (base de ingresos)</t>
  </si>
  <si>
    <t>Estantes ocupados (pagando)</t>
  </si>
  <si>
    <t>Meta de preventa antes de construir e inaugurar (% de los estantes disponibles)</t>
  </si>
  <si>
    <t>Ocupación necesaria (% de los 148 estantes disponibles)</t>
  </si>
  <si>
    <t>Estantes meta antes de abrir (pagando)</t>
  </si>
  <si>
    <t>Cuota mensual por estante (USD/mes)</t>
  </si>
  <si>
    <t>Escenarios en régimen (ocupación estable, sobre 148 estantes disponibles, solo cuotas)</t>
  </si>
  <si>
    <t>Modalidad de pago</t>
  </si>
  <si>
    <t>Anual adelantado (12 meses), única modalidad</t>
  </si>
  <si>
    <t>Pago adelantado por estante (USD/año)</t>
  </si>
  <si>
    <t>Ocupación (%)</t>
  </si>
  <si>
    <t>Estantes pagando</t>
  </si>
  <si>
    <t>Ingreso por cuotas (USD)</t>
  </si>
  <si>
    <t>Costos totales (USD)</t>
  </si>
  <si>
    <t>Superávit / Déficit mensual (USD)</t>
  </si>
  <si>
    <t>¿Sostenible?</t>
  </si>
  <si>
    <t>Tamaño del estante (alto x ancho x profundidad, cm)</t>
  </si>
  <si>
    <t>35 x 50 x 35</t>
  </si>
  <si>
    <t>APERTURA Y CRECIMIENTO POST-APERTURA</t>
  </si>
  <si>
    <t>Tasa de renovación anual (%)</t>
  </si>
  <si>
    <t>Estantes nuevos por mes tras una salida (crecimiento)</t>
  </si>
  <si>
    <t>AGUA EMBOTELLADA (supuestos para prorratear a costo mensual)</t>
  </si>
  <si>
    <t>Botellón de agua (USD/semana)</t>
  </si>
  <si>
    <t>Semanas por año (para prorratear el botellón a costo mensual)</t>
  </si>
  <si>
    <t>Botellón de agua, equivalente mensual (USD) — se suma abajo en Costos Fijos</t>
  </si>
  <si>
    <t>COSTOS FIJOS MENSUALES (USD)</t>
  </si>
  <si>
    <t>Alquiler</t>
  </si>
  <si>
    <t>Electricidad</t>
  </si>
  <si>
    <t>Internet</t>
  </si>
  <si>
    <t>Agua (servicio regular)</t>
  </si>
  <si>
    <t>Publicidad</t>
  </si>
  <si>
    <t>Limpieza</t>
  </si>
  <si>
    <t>Mantenimiento del sitio web</t>
  </si>
  <si>
    <t>Dominio (prorrateo renovación anual)</t>
  </si>
  <si>
    <t>Botellón de agua, equivalente mensual (ver supuesto arriba)</t>
  </si>
  <si>
    <t>Subtotal servicios + operativos</t>
  </si>
  <si>
    <t>Margen de variabilidad (%)</t>
  </si>
  <si>
    <t>Margen de variabilidad (USD)</t>
  </si>
  <si>
    <t>Sueldo de la coordinadora (USD/mes)</t>
  </si>
  <si>
    <t>Total costos fijos mensuales</t>
  </si>
  <si>
    <t>RIESGO CAMBIARIO E INFLACIÓN (BOLIVIA)</t>
  </si>
  <si>
    <t>Contexto (referencia, no es un input del cálculo):</t>
  </si>
  <si>
    <t xml:space="preserve">   • Desde nov. 2011 hasta fines de 2025, el tipo de cambio oficial estuvo fijo en Bs 6,96/USD (venta).</t>
  </si>
  <si>
    <t xml:space="preserve">   • Entre dic. 2025 y abr. 2026 el BCB inició una flexibilización cambiaria (Valor Referencial del Dólar).</t>
  </si>
  <si>
    <t xml:space="preserve">   • Sept. 2026: tipo de cambio oficial/referencial ≈ Bs 12,60/USD; paralelo ≈ Bs 12,30-12,50/USD (brecha 1-3%).</t>
  </si>
  <si>
    <t xml:space="preserve">   • Inflación 2025 (cierre): 20,4% (una de las más altas en décadas, por escasez de dólares).</t>
  </si>
  <si>
    <t xml:space="preserve">   • Inflación acumulada 2026 (ene-ago, INE): 3,01%; interanual a 12 meses (ago. 2026): 5,02%.</t>
  </si>
  <si>
    <t xml:space="preserve">   • Proyección BCB para el cierre de 2026: 9,22%. Fuentes: BCB, INE (consultado sept. 2026).</t>
  </si>
  <si>
    <t>Tipo de cambio de referencia BCB actual (Bs/USD, informativo)</t>
  </si>
  <si>
    <t>Inflación anual proyectada 2026 en Bolivia (BCB, informativo)</t>
  </si>
  <si>
    <t>Ajuste anual estimado para costos en BOB (alquiler, servicios, sueldo) — supuesto de planificación</t>
  </si>
  <si>
    <t>Nota</t>
  </si>
  <si>
    <t>La cuota de estante está fijada en USD y se cobra por adelantado para 12 meses; no se ajusta a mitad de ciclo. Conviene revisar el monto de la cuota en cada renovación anual para no perder margen frente a la inflación local.</t>
  </si>
  <si>
    <t>ESTANTE DE LOS MIEDOS (excluido del cálculo financiero — peor escenario)</t>
  </si>
  <si>
    <t>Apoyos activos (0, 1 o 2)</t>
  </si>
  <si>
    <t>Cuota por apoyo (USD/mes, informativo)</t>
  </si>
  <si>
    <t>Ingreso mensual por apoyos (informativo, no incluido en los cálculos)</t>
  </si>
  <si>
    <t>SUSCRIPCIÓN DE LECTORES (informativo — excluido del cálculo financiero, peor escenario)</t>
  </si>
  <si>
    <t>Monto anual de suscripción (USD/año) — provisional</t>
  </si>
  <si>
    <t>Plazo máximo de préstamo (días)</t>
  </si>
  <si>
    <t>Suscriptores estimados, año 1 (cifra arbitraria, informativo)</t>
  </si>
  <si>
    <t>Ingreso anual estimado por suscripciones (informativo, no incluido)</t>
  </si>
  <si>
    <t>Ingreso complementario potencial, no incluido en los cálculos de este modelo (peor escenario). Se puede sumar más adelante si se confirma demanda real.</t>
  </si>
  <si>
    <t>INVERSIÓN INICIAL (CAPEX: carpintería, mobiliario y puesta en marcha)</t>
  </si>
  <si>
    <t>Depósito de garantía (1 mes de alquiler)</t>
  </si>
  <si>
    <t>Comisión de inmobiliaria (1 mes de alquiler)</t>
  </si>
  <si>
    <t>Dispensador de agua (Villa Santa)</t>
  </si>
  <si>
    <t>Carpintería y estantes (150 módulos, 35 x 50 x 35 cm)</t>
  </si>
  <si>
    <t>Mesas y sillas plegables</t>
  </si>
  <si>
    <t>Iluminación</t>
  </si>
  <si>
    <t>Aire acondicionado</t>
  </si>
  <si>
    <t>Acabados, pintura y señalética</t>
  </si>
  <si>
    <t>Desarrollo del sitio web + tour virtual + sistemas de registro usuarios y libros</t>
  </si>
  <si>
    <t>Imprevistos y otros</t>
  </si>
  <si>
    <t>Total inversión inicial</t>
  </si>
  <si>
    <t>Dominio galeriaintima.org (ya pagado, no suma al total)</t>
  </si>
  <si>
    <t>NECESIDAD DE CAJA PARA EL AÑO 1 (peor escenario: solo cuotas de estantes)</t>
  </si>
  <si>
    <t>Estantes pagando antes de abrir (meta)</t>
  </si>
  <si>
    <t>Costos operativos de los primeros 12 meses (USD)</t>
  </si>
  <si>
    <t>Inversión inicial / CAPEX (depósito + comisión + dispensador + equipamiento, sin duplicar el alquiler)</t>
  </si>
  <si>
    <t>Necesidad total de caja para el año 1 (CAPEX + 12 meses de operación)</t>
  </si>
  <si>
    <t>Ingreso del año 1 (solo cuotas de estante, peor escenario)</t>
  </si>
  <si>
    <t>Superávit / Déficit del año 1 (USD)</t>
  </si>
  <si>
    <t>Costos fijos totales (USD, sin inflación)</t>
  </si>
  <si>
    <t>¿El año 1 se autofinancia solo con cuotas, en el peor escenario?</t>
  </si>
  <si>
    <t>Dinero disponible mensual para invertir en eventos en la galería</t>
  </si>
  <si>
    <t>Estantes pagando necesarios para autofinanciar el año 1 completo solo con cuotas</t>
  </si>
  <si>
    <t>¿Esa cantidad cabe en los estantes disponibles para alquiler?</t>
  </si>
  <si>
    <t>SENSIBILIDAD: COSTOS CON INFLACIÓN LOCAL (año 2, si la cuota no se ajusta)</t>
  </si>
  <si>
    <t>Costos fijos mensuales, año 2, ajustados por inflación (USD)</t>
  </si>
  <si>
    <t>Superávit mensual año 2 a ocupación plena (148), con costos inflactados y cuota fija de hoy</t>
  </si>
  <si>
    <t>Esta fila compara el mismo mes con costos inflactados vs. la cuota fija de hoy, para dimensionar cuánto se achica el margen si no se revisa la cuota en la renovación anual.</t>
  </si>
  <si>
    <t>Flujo neto mensual (USD, sin inflación)</t>
  </si>
  <si>
    <t>Fondo de reserva acumulado (USD, sin inflación)</t>
  </si>
  <si>
    <t>¿Déficit este mes? (sin inflación)</t>
  </si>
  <si>
    <t>SENSIBILIDAD: costos con inflación local desde el mes 13 (año 2)</t>
  </si>
  <si>
    <t>Costos fijos totales (USD, con inflación desde mes 13)</t>
  </si>
  <si>
    <t>Flujo neto mensual (USD, con inflación desde mes 13)</t>
  </si>
  <si>
    <t>Fondo de reserva acumulado (USD, con inflación desde mes 13)</t>
  </si>
  <si>
    <t>¿Déficit este mes? (con inflación desde mes 13)</t>
  </si>
  <si>
    <t>Primer mes con déficit (sin inflación)</t>
  </si>
  <si>
    <t>Primer mes con déficit (con inflación desde mes 13)</t>
  </si>
  <si>
    <t>Fondo de reserva al mes 24 (USD, sin inflación)</t>
  </si>
  <si>
    <t>Fondo de reserva al mes 24 (USD, con inflación desde mes 13)</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</si>
</sst>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
    <numFmt numFmtId="165" formatCode="\$#,##0.00;&quot;($&quot;#,##0.00\);\-"/>
  </numFmts>
  <fonts count="10">
    <font>
      <sz val="11.0"/>
      <color theme="1"/>
      <name val="Calibri"/>
      <scheme val="minor"/>
    </font>
    <font>
      <b/>
      <sz val="13.0"/>
      <color theme="1"/>
      <name val="Arial"/>
    </font>
    <font>
      <b/>
      <sz val="11.0"/>
      <color theme="1"/>
      <name val="Arial"/>
    </font>
    <font>
      <b/>
      <sz val="11.0"/>
      <color rgb="FFFFFFFF"/>
      <name val="Arial"/>
    </font>
    <font>
      <sz val="11.0"/>
      <color theme="1"/>
      <name val="Calibri"/>
    </font>
    <font>
      <sz val="11.0"/>
      <color rgb="FF000000"/>
      <name val="Arial"/>
    </font>
    <font>
      <sz val="11.0"/>
      <color rgb="FF0000FF"/>
      <name val="Arial"/>
    </font>
    <font>
      <sz val="11.0"/>
      <color rgb="FF008000"/>
      <name val="Arial"/>
    </font>
    <font>
      <i/>
      <sz val="11.0"/>
      <color rgb="FF808080"/>
      <name val="Arial"/>
    </font>
    <font>
      <color theme="1"/>
      <name val="Calibri"/>
      <scheme val="minor"/>
    </font>
  </fonts>
  <fills count="6">
    <fill>
      <patternFill patternType="none"/>
    </fill>
    <fill>
      <patternFill patternType="lightGray"/>
    </fill>
    <fill>
      <patternFill patternType="solid">
        <fgColor rgb="FF4472C4"/>
        <bgColor rgb="FF4472C4"/>
      </patternFill>
    </fill>
    <fill>
      <patternFill patternType="solid">
        <fgColor rgb="FFD9E1F2"/>
        <bgColor rgb="FFD9E1F2"/>
      </patternFill>
    </fill>
    <fill>
      <patternFill patternType="solid">
        <fgColor rgb="FFFFFF00"/>
        <bgColor rgb="FFFFFF00"/>
      </patternFill>
    </fill>
    <fill>
      <patternFill patternType="solid">
        <fgColor rgb="FFFCE4D6"/>
        <bgColor rgb="FFFCE4D6"/>
      </patternFill>
    </fill>
  </fills>
  <borders count="2">
    <border/>
    <border>
      <left/>
      <right/>
      <top/>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1" fillId="2" fontId="3" numFmtId="0" xfId="0" applyAlignment="1" applyBorder="1" applyFill="1" applyFont="1">
      <alignment shrinkToFit="0" vertical="bottom" wrapText="0"/>
    </xf>
    <xf borderId="1" fillId="3" fontId="2" numFmtId="0" xfId="0" applyAlignment="1" applyBorder="1" applyFill="1" applyFont="1">
      <alignment shrinkToFit="0" vertical="bottom" wrapText="0"/>
    </xf>
    <xf borderId="1" fillId="2" fontId="4" numFmtId="0" xfId="0" applyAlignment="1" applyBorder="1" applyFill="1" applyFont="1">
      <alignment shrinkToFit="0" vertical="bottom" wrapText="0"/>
    </xf>
    <xf borderId="0" fillId="0" fontId="5" numFmtId="0" xfId="0" applyAlignment="1" applyFont="1">
      <alignment shrinkToFit="0" vertical="bottom" wrapText="0"/>
    </xf>
    <xf borderId="0" fillId="0" fontId="6" numFmtId="1" xfId="0" applyAlignment="1" applyFont="1" applyNumberFormat="1">
      <alignment shrinkToFit="0" vertical="bottom" wrapText="0"/>
    </xf>
    <xf borderId="1" fillId="4" fontId="6" numFmtId="1" xfId="0" applyAlignment="1" applyBorder="1" applyFill="1" applyFont="1" applyNumberFormat="1">
      <alignment shrinkToFit="0" vertical="bottom" wrapText="0"/>
    </xf>
    <xf borderId="0" fillId="0" fontId="2" numFmtId="1" xfId="0" applyAlignment="1" applyFont="1" applyNumberFormat="1">
      <alignment shrinkToFit="0" vertical="bottom" wrapText="0"/>
    </xf>
    <xf borderId="0" fillId="0" fontId="7" numFmtId="1" xfId="0" applyAlignment="1" applyFont="1" applyNumberFormat="1">
      <alignment shrinkToFit="0" vertical="bottom" wrapText="0"/>
    </xf>
    <xf borderId="1" fillId="4" fontId="6" numFmtId="164" xfId="0" applyAlignment="1" applyBorder="1" applyFill="1" applyFont="1" applyNumberFormat="1">
      <alignment shrinkToFit="0" vertical="bottom" wrapText="0"/>
    </xf>
    <xf borderId="0" fillId="0" fontId="7" numFmtId="164" xfId="0" applyAlignment="1" applyFont="1" applyNumberFormat="1">
      <alignment shrinkToFit="0" vertical="bottom" wrapText="0"/>
    </xf>
    <xf borderId="0" fillId="0" fontId="6" numFmtId="165" xfId="0" applyAlignment="1" applyFont="1" applyNumberFormat="1">
      <alignment shrinkToFit="0" vertical="bottom" wrapText="0"/>
    </xf>
    <xf borderId="0" fillId="0" fontId="6" numFmtId="0" xfId="0" applyAlignment="1" applyFont="1">
      <alignment shrinkToFit="0" vertical="bottom" wrapText="0"/>
    </xf>
    <xf borderId="0" fillId="0" fontId="2" numFmtId="165" xfId="0" applyAlignment="1" applyFont="1" applyNumberFormat="1">
      <alignment shrinkToFit="0" vertical="bottom" wrapText="0"/>
    </xf>
    <xf borderId="0" fillId="0" fontId="5" numFmtId="164" xfId="0" applyAlignment="1" applyFont="1" applyNumberFormat="1">
      <alignment shrinkToFit="0" vertical="bottom" wrapText="0"/>
    </xf>
    <xf borderId="1" fillId="4" fontId="6" numFmtId="165" xfId="0" applyAlignment="1" applyBorder="1" applyFill="1" applyFont="1" applyNumberFormat="1">
      <alignment shrinkToFit="0" vertical="bottom" wrapText="0"/>
    </xf>
    <xf borderId="0" fillId="0" fontId="7" numFmtId="165" xfId="0" applyAlignment="1" applyFont="1" applyNumberFormat="1">
      <alignment shrinkToFit="0" vertical="bottom" wrapText="0"/>
    </xf>
    <xf borderId="0" fillId="0" fontId="5" numFmtId="165" xfId="0" applyAlignment="1" applyFont="1" applyNumberFormat="1">
      <alignment shrinkToFit="0" vertical="bottom" wrapText="0"/>
    </xf>
    <xf borderId="0" fillId="0" fontId="6" numFmtId="164" xfId="0" applyAlignment="1" applyFont="1" applyNumberFormat="1">
      <alignment shrinkToFit="0" vertical="bottom" wrapText="0"/>
    </xf>
    <xf borderId="0" fillId="0" fontId="8" numFmtId="0" xfId="0" applyAlignment="1" applyFont="1">
      <alignment shrinkToFit="0" vertical="bottom" wrapText="0"/>
    </xf>
    <xf borderId="0" fillId="0" fontId="8" numFmtId="0" xfId="0" applyAlignment="1" applyFont="1">
      <alignment shrinkToFit="0" vertical="bottom" wrapText="1"/>
    </xf>
    <xf borderId="1" fillId="5" fontId="6" numFmtId="2" xfId="0" applyAlignment="1" applyBorder="1" applyFill="1" applyFont="1" applyNumberFormat="1">
      <alignment shrinkToFit="0" vertical="bottom" wrapText="0"/>
    </xf>
    <xf borderId="1" fillId="5" fontId="6" numFmtId="164" xfId="0" applyAlignment="1" applyBorder="1" applyFill="1" applyFont="1" applyNumberFormat="1">
      <alignment shrinkToFit="0" vertical="bottom" wrapText="0"/>
    </xf>
    <xf borderId="0" fillId="0" fontId="8" numFmtId="165" xfId="0" applyAlignment="1" applyFont="1" applyNumberFormat="1">
      <alignment shrinkToFit="0" vertical="bottom" wrapText="0"/>
    </xf>
    <xf borderId="1" fillId="4" fontId="6" numFmtId="1" xfId="0" applyAlignment="1" applyBorder="1" applyFill="1" applyFont="1" applyNumberFormat="1">
      <alignment readingOrder="0" shrinkToFit="0" vertical="bottom" wrapText="0"/>
    </xf>
    <xf borderId="0" fillId="0" fontId="6" numFmtId="165" xfId="0" applyAlignment="1" applyFont="1" applyNumberFormat="1">
      <alignment readingOrder="0" shrinkToFit="0" vertical="bottom" wrapText="0"/>
    </xf>
    <xf borderId="0" fillId="0" fontId="5" numFmtId="0" xfId="0" applyAlignment="1" applyFont="1">
      <alignment readingOrder="0" shrinkToFit="0" vertical="bottom" wrapText="0"/>
    </xf>
    <xf borderId="0" fillId="0" fontId="5" numFmtId="1" xfId="0" applyAlignment="1" applyFont="1" applyNumberFormat="1">
      <alignment shrinkToFit="0" vertical="bottom" wrapText="0"/>
    </xf>
    <xf borderId="1" fillId="5" fontId="2" numFmtId="0" xfId="0" applyAlignment="1" applyBorder="1" applyFill="1" applyFont="1">
      <alignment shrinkToFit="0" vertical="bottom" wrapText="0"/>
    </xf>
    <xf borderId="0" fillId="0" fontId="9" numFmtId="0" xfId="0" applyFont="1"/>
    <xf borderId="0" fillId="0" fontId="4" numFmtId="165" xfId="0" applyAlignment="1" applyFont="1" applyNumberFormat="1">
      <alignment shrinkToFit="0" vertical="bottom" wrapText="0"/>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70.0"/>
    <col customWidth="1" min="2" max="2" width="22.0"/>
    <col customWidth="1" min="3" max="26" width="8.71"/>
  </cols>
  <sheetData>
    <row r="1">
      <c r="A1" s="1" t="s">
        <v>1</v>
      </c>
    </row>
    <row r="3">
      <c r="A3" s="3" t="s">
        <v>5</v>
      </c>
      <c r="B3" s="5"/>
    </row>
    <row r="4">
      <c r="A4" s="6" t="s">
        <v>7</v>
      </c>
      <c r="B4" s="7">
        <v>150.0</v>
      </c>
    </row>
    <row r="5">
      <c r="A5" s="6" t="s">
        <v>8</v>
      </c>
      <c r="B5" s="8">
        <v>2.0</v>
      </c>
    </row>
    <row r="6">
      <c r="A6" s="2" t="s">
        <v>9</v>
      </c>
      <c r="B6" s="9">
        <f>B4-B5</f>
        <v>148</v>
      </c>
    </row>
    <row r="7">
      <c r="A7" s="6" t="s">
        <v>11</v>
      </c>
      <c r="B7" s="11">
        <v>1.0</v>
      </c>
    </row>
    <row r="8">
      <c r="A8" s="2" t="s">
        <v>13</v>
      </c>
      <c r="B8" s="9">
        <f>B6*B7</f>
        <v>148</v>
      </c>
    </row>
    <row r="9">
      <c r="A9" s="6" t="s">
        <v>14</v>
      </c>
      <c r="B9" s="13">
        <v>9.0</v>
      </c>
    </row>
    <row r="10">
      <c r="A10" s="6" t="s">
        <v>16</v>
      </c>
      <c r="B10" s="14" t="s">
        <v>17</v>
      </c>
    </row>
    <row r="11">
      <c r="A11" s="2" t="s">
        <v>18</v>
      </c>
      <c r="B11" s="15">
        <f>B9*12</f>
        <v>108</v>
      </c>
    </row>
    <row r="12">
      <c r="A12" s="6" t="s">
        <v>25</v>
      </c>
      <c r="B12" s="14" t="s">
        <v>26</v>
      </c>
    </row>
    <row r="14">
      <c r="A14" s="3" t="s">
        <v>27</v>
      </c>
      <c r="B14" s="5"/>
    </row>
    <row r="15">
      <c r="A15" s="6" t="s">
        <v>28</v>
      </c>
      <c r="B15" s="11">
        <v>0.85</v>
      </c>
    </row>
    <row r="16">
      <c r="A16" s="6" t="s">
        <v>29</v>
      </c>
      <c r="B16" s="8">
        <v>5.0</v>
      </c>
    </row>
    <row r="18">
      <c r="A18" s="3" t="s">
        <v>30</v>
      </c>
      <c r="B18" s="5"/>
    </row>
    <row r="19">
      <c r="A19" s="6" t="s">
        <v>31</v>
      </c>
      <c r="B19" s="17">
        <v>1.5</v>
      </c>
    </row>
    <row r="20">
      <c r="A20" s="6" t="s">
        <v>32</v>
      </c>
      <c r="B20" s="7">
        <v>52.0</v>
      </c>
    </row>
    <row r="21" ht="15.75" customHeight="1">
      <c r="A21" s="6" t="s">
        <v>33</v>
      </c>
      <c r="B21" s="19">
        <f>B19*B20/12</f>
        <v>6.5</v>
      </c>
    </row>
    <row r="22" ht="15.75" customHeight="1"/>
    <row r="23" ht="15.75" customHeight="1">
      <c r="A23" s="3" t="s">
        <v>34</v>
      </c>
      <c r="B23" s="5"/>
    </row>
    <row r="24" ht="15.75" customHeight="1">
      <c r="A24" s="6" t="s">
        <v>35</v>
      </c>
      <c r="B24" s="13">
        <v>220.0</v>
      </c>
    </row>
    <row r="25" ht="15.75" customHeight="1">
      <c r="A25" s="6" t="s">
        <v>36</v>
      </c>
      <c r="B25" s="13">
        <v>40.0</v>
      </c>
    </row>
    <row r="26" ht="15.75" customHeight="1">
      <c r="A26" s="6" t="s">
        <v>37</v>
      </c>
      <c r="B26" s="13">
        <v>16.0</v>
      </c>
    </row>
    <row r="27" ht="15.75" customHeight="1">
      <c r="A27" s="6" t="s">
        <v>38</v>
      </c>
      <c r="B27" s="13">
        <v>10.0</v>
      </c>
    </row>
    <row r="28" ht="15.75" customHeight="1">
      <c r="A28" s="6" t="s">
        <v>39</v>
      </c>
      <c r="B28" s="13">
        <v>10.0</v>
      </c>
    </row>
    <row r="29" ht="15.75" customHeight="1">
      <c r="A29" s="6" t="s">
        <v>40</v>
      </c>
      <c r="B29" s="13">
        <v>30.0</v>
      </c>
    </row>
    <row r="30" ht="15.75" customHeight="1">
      <c r="A30" s="6" t="s">
        <v>41</v>
      </c>
      <c r="B30" s="13">
        <v>15.0</v>
      </c>
    </row>
    <row r="31" ht="15.75" customHeight="1">
      <c r="A31" s="6" t="s">
        <v>42</v>
      </c>
      <c r="B31" s="13">
        <v>1.25</v>
      </c>
    </row>
    <row r="32" ht="15.75" customHeight="1">
      <c r="A32" s="6" t="s">
        <v>43</v>
      </c>
      <c r="B32" s="19">
        <f>B21</f>
        <v>6.5</v>
      </c>
    </row>
    <row r="33" ht="15.75" customHeight="1">
      <c r="A33" s="2" t="s">
        <v>44</v>
      </c>
      <c r="B33" s="15">
        <f>SUM(B24:B32)</f>
        <v>348.75</v>
      </c>
    </row>
    <row r="34" ht="15.75" customHeight="1">
      <c r="A34" s="6" t="s">
        <v>45</v>
      </c>
      <c r="B34" s="20">
        <v>0.1</v>
      </c>
    </row>
    <row r="35" ht="15.75" customHeight="1">
      <c r="A35" s="6" t="s">
        <v>46</v>
      </c>
      <c r="B35" s="19">
        <f>B33*B34</f>
        <v>34.875</v>
      </c>
    </row>
    <row r="36" ht="15.75" customHeight="1">
      <c r="A36" s="6" t="s">
        <v>47</v>
      </c>
      <c r="B36" s="13">
        <v>370.0</v>
      </c>
    </row>
    <row r="37" ht="15.75" customHeight="1">
      <c r="A37" s="2" t="s">
        <v>48</v>
      </c>
      <c r="B37" s="15">
        <f>B33+B35+B36</f>
        <v>753.625</v>
      </c>
    </row>
    <row r="38" ht="15.75" customHeight="1"/>
    <row r="39" ht="15.75" customHeight="1">
      <c r="A39" s="3" t="s">
        <v>49</v>
      </c>
      <c r="B39" s="5"/>
    </row>
    <row r="40" ht="15.75" customHeight="1">
      <c r="A40" s="21" t="s">
        <v>50</v>
      </c>
    </row>
    <row r="41" ht="15.75" customHeight="1">
      <c r="A41" s="22" t="s">
        <v>51</v>
      </c>
    </row>
    <row r="42" ht="15.75" customHeight="1">
      <c r="A42" s="22" t="s">
        <v>52</v>
      </c>
    </row>
    <row r="43" ht="15.75" customHeight="1">
      <c r="A43" s="22" t="s">
        <v>53</v>
      </c>
    </row>
    <row r="44" ht="15.75" customHeight="1">
      <c r="A44" s="22" t="s">
        <v>54</v>
      </c>
    </row>
    <row r="45" ht="15.75" customHeight="1">
      <c r="A45" s="22" t="s">
        <v>55</v>
      </c>
    </row>
    <row r="46" ht="15.75" customHeight="1">
      <c r="A46" s="22" t="s">
        <v>56</v>
      </c>
    </row>
    <row r="47" ht="15.75" customHeight="1"/>
    <row r="48" ht="15.75" customHeight="1">
      <c r="A48" s="6" t="s">
        <v>57</v>
      </c>
      <c r="B48" s="23">
        <v>12.6</v>
      </c>
    </row>
    <row r="49" ht="15.75" customHeight="1">
      <c r="A49" s="6" t="s">
        <v>58</v>
      </c>
      <c r="B49" s="24">
        <v>0.0922</v>
      </c>
    </row>
    <row r="50" ht="15.75" customHeight="1">
      <c r="A50" s="6" t="s">
        <v>59</v>
      </c>
      <c r="B50" s="11">
        <v>0.1</v>
      </c>
    </row>
    <row r="51" ht="15.75" customHeight="1">
      <c r="A51" s="21" t="s">
        <v>60</v>
      </c>
      <c r="B51" s="22" t="s">
        <v>61</v>
      </c>
    </row>
    <row r="52" ht="15.75" customHeight="1"/>
    <row r="53" ht="15.75" customHeight="1">
      <c r="A53" s="3" t="s">
        <v>62</v>
      </c>
      <c r="B53" s="5"/>
    </row>
    <row r="54" ht="15.75" customHeight="1">
      <c r="A54" s="6" t="s">
        <v>63</v>
      </c>
      <c r="B54" s="8">
        <v>0.0</v>
      </c>
    </row>
    <row r="55" ht="15.75" customHeight="1">
      <c r="A55" s="6" t="s">
        <v>64</v>
      </c>
      <c r="B55" s="13">
        <v>15.0</v>
      </c>
    </row>
    <row r="56" ht="15.75" customHeight="1">
      <c r="A56" s="21" t="s">
        <v>65</v>
      </c>
      <c r="B56" s="25">
        <f>B54*B55</f>
        <v>0</v>
      </c>
    </row>
    <row r="57" ht="15.75" customHeight="1"/>
    <row r="58" ht="15.75" customHeight="1">
      <c r="A58" s="3" t="s">
        <v>66</v>
      </c>
      <c r="B58" s="5"/>
    </row>
    <row r="59" ht="15.75" customHeight="1">
      <c r="A59" s="6" t="s">
        <v>67</v>
      </c>
      <c r="B59" s="17">
        <v>10.0</v>
      </c>
    </row>
    <row r="60" ht="15.75" customHeight="1">
      <c r="A60" s="6" t="s">
        <v>68</v>
      </c>
      <c r="B60" s="7">
        <v>14.0</v>
      </c>
    </row>
    <row r="61" ht="15.75" customHeight="1">
      <c r="A61" s="6" t="s">
        <v>69</v>
      </c>
      <c r="B61" s="26">
        <v>0.0</v>
      </c>
    </row>
    <row r="62" ht="15.75" customHeight="1">
      <c r="A62" s="21" t="s">
        <v>70</v>
      </c>
      <c r="B62" s="25">
        <f>B59*B61</f>
        <v>0</v>
      </c>
    </row>
    <row r="63" ht="15.75" customHeight="1">
      <c r="A63" s="6" t="s">
        <v>60</v>
      </c>
      <c r="B63" s="22" t="s">
        <v>71</v>
      </c>
    </row>
    <row r="64" ht="15.75" customHeight="1"/>
    <row r="65" ht="15.75" customHeight="1">
      <c r="A65" s="3" t="s">
        <v>72</v>
      </c>
      <c r="B65" s="5"/>
    </row>
    <row r="66" ht="15.75" customHeight="1">
      <c r="A66" s="6" t="s">
        <v>73</v>
      </c>
      <c r="B66" s="13">
        <v>220.0</v>
      </c>
    </row>
    <row r="67" ht="15.75" customHeight="1">
      <c r="A67" s="6" t="s">
        <v>74</v>
      </c>
      <c r="B67" s="13">
        <v>220.0</v>
      </c>
    </row>
    <row r="68" ht="15.75" customHeight="1">
      <c r="A68" s="6" t="s">
        <v>75</v>
      </c>
      <c r="B68" s="13">
        <v>200.0</v>
      </c>
    </row>
    <row r="69" ht="15.75" customHeight="1">
      <c r="A69" s="6" t="s">
        <v>76</v>
      </c>
      <c r="B69" s="17">
        <v>2920.0</v>
      </c>
    </row>
    <row r="70" ht="15.75" customHeight="1">
      <c r="A70" s="6" t="s">
        <v>77</v>
      </c>
      <c r="B70" s="27">
        <v>500.0</v>
      </c>
    </row>
    <row r="71" ht="15.75" customHeight="1">
      <c r="A71" s="6" t="s">
        <v>78</v>
      </c>
      <c r="B71" s="27">
        <v>600.0</v>
      </c>
    </row>
    <row r="72" ht="15.75" customHeight="1">
      <c r="A72" s="6" t="s">
        <v>79</v>
      </c>
      <c r="B72" s="27">
        <v>500.0</v>
      </c>
    </row>
    <row r="73" ht="15.75" customHeight="1">
      <c r="A73" s="6" t="s">
        <v>80</v>
      </c>
      <c r="B73" s="13">
        <v>400.0</v>
      </c>
    </row>
    <row r="74" ht="15.75" customHeight="1">
      <c r="A74" s="28" t="s">
        <v>81</v>
      </c>
      <c r="B74" s="13">
        <v>800.0</v>
      </c>
    </row>
    <row r="75" ht="15.75" customHeight="1">
      <c r="A75" s="6" t="s">
        <v>82</v>
      </c>
      <c r="B75" s="13">
        <v>300.0</v>
      </c>
    </row>
    <row r="76" ht="15.75" customHeight="1">
      <c r="A76" s="2" t="s">
        <v>83</v>
      </c>
      <c r="B76" s="15">
        <f>SUM(B66:B75)</f>
        <v>6660</v>
      </c>
    </row>
    <row r="77" ht="15.75" customHeight="1">
      <c r="A77" s="6" t="s">
        <v>84</v>
      </c>
      <c r="B77" s="13">
        <v>8.18</v>
      </c>
    </row>
    <row r="78" ht="15.75" customHeight="1"/>
    <row r="79" ht="15.75" customHeight="1">
      <c r="A79" s="3" t="s">
        <v>85</v>
      </c>
      <c r="B79" s="5"/>
    </row>
    <row r="80" ht="15.75" customHeight="1">
      <c r="A80" s="6" t="s">
        <v>86</v>
      </c>
      <c r="B80" s="29">
        <f>B8</f>
        <v>148</v>
      </c>
    </row>
    <row r="81" ht="15.75" customHeight="1">
      <c r="A81" s="6" t="s">
        <v>87</v>
      </c>
      <c r="B81" s="19">
        <f>B37*12</f>
        <v>9043.5</v>
      </c>
    </row>
    <row r="82" ht="15.75" customHeight="1">
      <c r="A82" s="6" t="s">
        <v>88</v>
      </c>
      <c r="B82" s="19">
        <f>B76</f>
        <v>6660</v>
      </c>
    </row>
    <row r="83" ht="15.75" customHeight="1">
      <c r="A83" s="2" t="s">
        <v>89</v>
      </c>
      <c r="B83" s="15">
        <f>B81+B82</f>
        <v>15703.5</v>
      </c>
    </row>
    <row r="84" ht="15.75" customHeight="1"/>
    <row r="85" ht="15.75" customHeight="1">
      <c r="A85" s="2" t="s">
        <v>90</v>
      </c>
      <c r="B85" s="15">
        <f>B80*B11</f>
        <v>15984</v>
      </c>
    </row>
    <row r="86" ht="15.75" customHeight="1"/>
    <row r="87" ht="15.75" customHeight="1">
      <c r="A87" s="2" t="s">
        <v>91</v>
      </c>
      <c r="B87" s="15">
        <f>B85-B83</f>
        <v>280.5</v>
      </c>
    </row>
    <row r="88" ht="15.75" customHeight="1">
      <c r="A88" s="2" t="s">
        <v>93</v>
      </c>
      <c r="B88" s="2" t="str">
        <f>IF(B87&gt;=0,"Sí","No")</f>
        <v>Sí</v>
      </c>
    </row>
    <row r="89" ht="15.75" customHeight="1">
      <c r="A89" s="2" t="s">
        <v>94</v>
      </c>
      <c r="B89" s="15">
        <f>IF(B88="Sí",B87/12,0)</f>
        <v>23.375</v>
      </c>
    </row>
    <row r="90" ht="15.75" customHeight="1">
      <c r="A90" s="6" t="s">
        <v>95</v>
      </c>
      <c r="B90" s="10">
        <f>ROUNDUP(B83/B11,0)</f>
        <v>146</v>
      </c>
    </row>
    <row r="91" ht="15.75" customHeight="1">
      <c r="A91" s="6" t="s">
        <v>96</v>
      </c>
      <c r="B91" s="6" t="str">
        <f>IF(B90&lt;=B6,"Sí","No — supera la capacidad de estantes en alquiler")</f>
        <v>Sí</v>
      </c>
    </row>
    <row r="92" ht="15.75" customHeight="1"/>
    <row r="93" ht="15.75" customHeight="1">
      <c r="A93" s="3" t="s">
        <v>97</v>
      </c>
      <c r="B93" s="5"/>
    </row>
    <row r="94" ht="15.75" customHeight="1">
      <c r="A94" s="6" t="s">
        <v>98</v>
      </c>
      <c r="B94" s="18">
        <f>B37*(1+B50)</f>
        <v>828.9875</v>
      </c>
    </row>
    <row r="95" ht="15.75" customHeight="1">
      <c r="A95" s="6" t="s">
        <v>99</v>
      </c>
      <c r="B95" s="18">
        <f>B6*B9-B94</f>
        <v>503.0125</v>
      </c>
    </row>
    <row r="96" ht="15.75" customHeight="1">
      <c r="A96" s="21" t="s">
        <v>60</v>
      </c>
      <c r="B96" s="22" t="s">
        <v>100</v>
      </c>
    </row>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6.0" topLeftCell="B7" activePane="bottomRight" state="frozen"/>
      <selection activeCell="B1" sqref="B1" pane="topRight"/>
      <selection activeCell="A7" sqref="A7" pane="bottomLeft"/>
      <selection activeCell="B7" sqref="B7" pane="bottomRight"/>
    </sheetView>
  </sheetViews>
  <sheetFormatPr customHeight="1" defaultColWidth="14.43" defaultRowHeight="15.0"/>
  <cols>
    <col customWidth="1" min="1" max="6" width="22.0"/>
    <col customWidth="1" min="7" max="26" width="8.71"/>
  </cols>
  <sheetData>
    <row r="1">
      <c r="A1" s="1" t="s">
        <v>2</v>
      </c>
    </row>
    <row r="3">
      <c r="A3" s="2" t="s">
        <v>4</v>
      </c>
    </row>
    <row r="4">
      <c r="A4" s="4" t="s">
        <v>6</v>
      </c>
      <c r="B4" s="10">
        <f>ROUNDUP(Supuestos!$B$37/Supuestos!$B$9,0)</f>
        <v>84</v>
      </c>
    </row>
    <row r="5">
      <c r="A5" s="2" t="s">
        <v>12</v>
      </c>
      <c r="B5" s="12">
        <f>B4/Supuestos!$B$6</f>
        <v>0.5675675676</v>
      </c>
    </row>
    <row r="7">
      <c r="A7" s="2" t="s">
        <v>15</v>
      </c>
    </row>
    <row r="8">
      <c r="A8" s="4" t="s">
        <v>19</v>
      </c>
      <c r="B8" s="4" t="s">
        <v>20</v>
      </c>
      <c r="C8" s="4" t="s">
        <v>21</v>
      </c>
      <c r="D8" s="4" t="s">
        <v>22</v>
      </c>
      <c r="E8" s="4" t="s">
        <v>23</v>
      </c>
      <c r="F8" s="4" t="s">
        <v>24</v>
      </c>
    </row>
    <row r="9">
      <c r="A9" s="16">
        <v>0.4</v>
      </c>
      <c r="B9" s="10">
        <f>ROUND(A9*Supuestos!$B$6,0)</f>
        <v>59</v>
      </c>
      <c r="C9" s="18">
        <f>B9*Supuestos!$B$9</f>
        <v>531</v>
      </c>
      <c r="D9" s="18">
        <f>Supuestos!$B$37</f>
        <v>753.625</v>
      </c>
      <c r="E9" s="19">
        <f t="shared" ref="E9:E15" si="1">C9-D9</f>
        <v>-222.625</v>
      </c>
      <c r="F9" s="6" t="str">
        <f t="shared" ref="F9:F15" si="2">IF(E9&gt;=0,"Sí","No")</f>
        <v>No</v>
      </c>
    </row>
    <row r="10">
      <c r="A10" s="16">
        <v>0.5</v>
      </c>
      <c r="B10" s="10">
        <f>ROUND(A10*Supuestos!$B$6,0)</f>
        <v>74</v>
      </c>
      <c r="C10" s="18">
        <f>B10*Supuestos!$B$9</f>
        <v>666</v>
      </c>
      <c r="D10" s="18">
        <f>Supuestos!$B$37</f>
        <v>753.625</v>
      </c>
      <c r="E10" s="19">
        <f t="shared" si="1"/>
        <v>-87.625</v>
      </c>
      <c r="F10" s="6" t="str">
        <f t="shared" si="2"/>
        <v>No</v>
      </c>
    </row>
    <row r="11">
      <c r="A11" s="16">
        <v>0.6</v>
      </c>
      <c r="B11" s="10">
        <f>ROUND(A11*Supuestos!$B$6,0)</f>
        <v>89</v>
      </c>
      <c r="C11" s="18">
        <f>B11*Supuestos!$B$9</f>
        <v>801</v>
      </c>
      <c r="D11" s="18">
        <f>Supuestos!$B$37</f>
        <v>753.625</v>
      </c>
      <c r="E11" s="19">
        <f t="shared" si="1"/>
        <v>47.375</v>
      </c>
      <c r="F11" s="6" t="str">
        <f t="shared" si="2"/>
        <v>Sí</v>
      </c>
    </row>
    <row r="12">
      <c r="A12" s="16">
        <v>0.7</v>
      </c>
      <c r="B12" s="10">
        <f>ROUND(A12*Supuestos!$B$6,0)</f>
        <v>104</v>
      </c>
      <c r="C12" s="18">
        <f>B12*Supuestos!$B$9</f>
        <v>936</v>
      </c>
      <c r="D12" s="18">
        <f>Supuestos!$B$37</f>
        <v>753.625</v>
      </c>
      <c r="E12" s="19">
        <f t="shared" si="1"/>
        <v>182.375</v>
      </c>
      <c r="F12" s="6" t="str">
        <f t="shared" si="2"/>
        <v>Sí</v>
      </c>
    </row>
    <row r="13">
      <c r="A13" s="16">
        <v>0.8</v>
      </c>
      <c r="B13" s="10">
        <f>ROUND(A13*Supuestos!$B$6,0)</f>
        <v>118</v>
      </c>
      <c r="C13" s="18">
        <f>B13*Supuestos!$B$9</f>
        <v>1062</v>
      </c>
      <c r="D13" s="18">
        <f>Supuestos!$B$37</f>
        <v>753.625</v>
      </c>
      <c r="E13" s="19">
        <f t="shared" si="1"/>
        <v>308.375</v>
      </c>
      <c r="F13" s="6" t="str">
        <f t="shared" si="2"/>
        <v>Sí</v>
      </c>
    </row>
    <row r="14">
      <c r="A14" s="16">
        <v>0.9</v>
      </c>
      <c r="B14" s="10">
        <f>ROUND(A14*Supuestos!$B$6,0)</f>
        <v>133</v>
      </c>
      <c r="C14" s="18">
        <f>B14*Supuestos!$B$9</f>
        <v>1197</v>
      </c>
      <c r="D14" s="18">
        <f>Supuestos!$B$37</f>
        <v>753.625</v>
      </c>
      <c r="E14" s="19">
        <f t="shared" si="1"/>
        <v>443.375</v>
      </c>
      <c r="F14" s="6" t="str">
        <f t="shared" si="2"/>
        <v>Sí</v>
      </c>
    </row>
    <row r="15">
      <c r="A15" s="16">
        <v>1.0</v>
      </c>
      <c r="B15" s="10">
        <f>ROUND(A15*Supuestos!$B$6,0)</f>
        <v>148</v>
      </c>
      <c r="C15" s="18">
        <f>B15*Supuestos!$B$9</f>
        <v>1332</v>
      </c>
      <c r="D15" s="18">
        <f>Supuestos!$B$37</f>
        <v>753.625</v>
      </c>
      <c r="E15" s="19">
        <f t="shared" si="1"/>
        <v>578.375</v>
      </c>
      <c r="F15" s="6" t="str">
        <f t="shared" si="2"/>
        <v>Sí</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4.43" defaultRowHeight="15.0"/>
  <cols>
    <col customWidth="1" min="1" max="1" width="40.0"/>
    <col customWidth="1" min="2" max="25" width="11.0"/>
    <col customWidth="1" min="26" max="26" width="8.71"/>
  </cols>
  <sheetData>
    <row r="1">
      <c r="A1" s="1" t="s">
        <v>0</v>
      </c>
    </row>
    <row r="3">
      <c r="A3" s="2" t="s">
        <v>3</v>
      </c>
      <c r="B3" s="2">
        <v>1.0</v>
      </c>
      <c r="C3" s="2">
        <v>2.0</v>
      </c>
      <c r="D3" s="2">
        <v>3.0</v>
      </c>
      <c r="E3" s="2">
        <v>4.0</v>
      </c>
      <c r="F3" s="2">
        <v>5.0</v>
      </c>
      <c r="G3" s="2">
        <v>6.0</v>
      </c>
      <c r="H3" s="2">
        <v>7.0</v>
      </c>
      <c r="I3" s="2">
        <v>8.0</v>
      </c>
      <c r="J3" s="2">
        <v>9.0</v>
      </c>
      <c r="K3" s="2">
        <v>10.0</v>
      </c>
      <c r="L3" s="2">
        <v>11.0</v>
      </c>
      <c r="M3" s="2">
        <v>12.0</v>
      </c>
      <c r="N3" s="2">
        <v>13.0</v>
      </c>
      <c r="O3" s="2">
        <v>14.0</v>
      </c>
      <c r="P3" s="2">
        <v>15.0</v>
      </c>
      <c r="Q3" s="2">
        <v>16.0</v>
      </c>
      <c r="R3" s="2">
        <v>17.0</v>
      </c>
      <c r="S3" s="2">
        <v>18.0</v>
      </c>
      <c r="T3" s="2">
        <v>19.0</v>
      </c>
      <c r="U3" s="2">
        <v>20.0</v>
      </c>
      <c r="V3" s="2">
        <v>21.0</v>
      </c>
      <c r="W3" s="2">
        <v>22.0</v>
      </c>
      <c r="X3" s="2">
        <v>23.0</v>
      </c>
      <c r="Y3" s="2">
        <v>24.0</v>
      </c>
    </row>
    <row r="4">
      <c r="A4" s="2" t="s">
        <v>10</v>
      </c>
      <c r="B4" s="10">
        <f>Supuestos!$B$8</f>
        <v>148</v>
      </c>
      <c r="C4" s="10">
        <f t="shared" ref="C4:M4" si="1">B4</f>
        <v>148</v>
      </c>
      <c r="D4" s="10">
        <f t="shared" si="1"/>
        <v>148</v>
      </c>
      <c r="E4" s="10">
        <f t="shared" si="1"/>
        <v>148</v>
      </c>
      <c r="F4" s="10">
        <f t="shared" si="1"/>
        <v>148</v>
      </c>
      <c r="G4" s="10">
        <f t="shared" si="1"/>
        <v>148</v>
      </c>
      <c r="H4" s="10">
        <f t="shared" si="1"/>
        <v>148</v>
      </c>
      <c r="I4" s="10">
        <f t="shared" si="1"/>
        <v>148</v>
      </c>
      <c r="J4" s="10">
        <f t="shared" si="1"/>
        <v>148</v>
      </c>
      <c r="K4" s="10">
        <f t="shared" si="1"/>
        <v>148</v>
      </c>
      <c r="L4" s="10">
        <f t="shared" si="1"/>
        <v>148</v>
      </c>
      <c r="M4" s="10">
        <f t="shared" si="1"/>
        <v>148</v>
      </c>
      <c r="N4" s="10">
        <f>ROUND(M4*Supuestos!$B$15,0)</f>
        <v>126</v>
      </c>
      <c r="O4" s="10">
        <f>MIN(Supuestos!$B$6,N4+Supuestos!$B$16)</f>
        <v>131</v>
      </c>
      <c r="P4" s="10">
        <f>MIN(Supuestos!$B$6,O4+Supuestos!$B$16)</f>
        <v>136</v>
      </c>
      <c r="Q4" s="10">
        <f>MIN(Supuestos!$B$6,P4+Supuestos!$B$16)</f>
        <v>141</v>
      </c>
      <c r="R4" s="10">
        <f>MIN(Supuestos!$B$6,Q4+Supuestos!$B$16)</f>
        <v>146</v>
      </c>
      <c r="S4" s="10">
        <f>MIN(Supuestos!$B$6,R4+Supuestos!$B$16)</f>
        <v>148</v>
      </c>
      <c r="T4" s="10">
        <f>MIN(Supuestos!$B$6,S4+Supuestos!$B$16)</f>
        <v>148</v>
      </c>
      <c r="U4" s="10">
        <f>MIN(Supuestos!$B$6,T4+Supuestos!$B$16)</f>
        <v>148</v>
      </c>
      <c r="V4" s="10">
        <f>MIN(Supuestos!$B$6,U4+Supuestos!$B$16)</f>
        <v>148</v>
      </c>
      <c r="W4" s="10">
        <f>MIN(Supuestos!$B$6,V4+Supuestos!$B$16)</f>
        <v>148</v>
      </c>
      <c r="X4" s="10">
        <f>MIN(Supuestos!$B$6,W4+Supuestos!$B$16)</f>
        <v>148</v>
      </c>
      <c r="Y4" s="10">
        <f>MIN(Supuestos!$B$6,X4+Supuestos!$B$16)</f>
        <v>148</v>
      </c>
    </row>
    <row r="5">
      <c r="A5" s="2" t="s">
        <v>21</v>
      </c>
      <c r="B5" s="18">
        <f>B4*Supuestos!$B$9</f>
        <v>1332</v>
      </c>
      <c r="C5" s="18">
        <f>C4*Supuestos!$B$9</f>
        <v>1332</v>
      </c>
      <c r="D5" s="18">
        <f>D4*Supuestos!$B$9</f>
        <v>1332</v>
      </c>
      <c r="E5" s="18">
        <f>E4*Supuestos!$B$9</f>
        <v>1332</v>
      </c>
      <c r="F5" s="18">
        <f>F4*Supuestos!$B$9</f>
        <v>1332</v>
      </c>
      <c r="G5" s="18">
        <f>G4*Supuestos!$B$9</f>
        <v>1332</v>
      </c>
      <c r="H5" s="18">
        <f>H4*Supuestos!$B$9</f>
        <v>1332</v>
      </c>
      <c r="I5" s="18">
        <f>I4*Supuestos!$B$9</f>
        <v>1332</v>
      </c>
      <c r="J5" s="18">
        <f>J4*Supuestos!$B$9</f>
        <v>1332</v>
      </c>
      <c r="K5" s="18">
        <f>K4*Supuestos!$B$9</f>
        <v>1332</v>
      </c>
      <c r="L5" s="18">
        <f>L4*Supuestos!$B$9</f>
        <v>1332</v>
      </c>
      <c r="M5" s="18">
        <f>M4*Supuestos!$B$9</f>
        <v>1332</v>
      </c>
      <c r="N5" s="18">
        <f>N4*Supuestos!$B$9</f>
        <v>1134</v>
      </c>
      <c r="O5" s="18">
        <f>O4*Supuestos!$B$9</f>
        <v>1179</v>
      </c>
      <c r="P5" s="18">
        <f>P4*Supuestos!$B$9</f>
        <v>1224</v>
      </c>
      <c r="Q5" s="18">
        <f>Q4*Supuestos!$B$9</f>
        <v>1269</v>
      </c>
      <c r="R5" s="18">
        <f>R4*Supuestos!$B$9</f>
        <v>1314</v>
      </c>
      <c r="S5" s="18">
        <f>S4*Supuestos!$B$9</f>
        <v>1332</v>
      </c>
      <c r="T5" s="18">
        <f>T4*Supuestos!$B$9</f>
        <v>1332</v>
      </c>
      <c r="U5" s="18">
        <f>U4*Supuestos!$B$9</f>
        <v>1332</v>
      </c>
      <c r="V5" s="18">
        <f>V4*Supuestos!$B$9</f>
        <v>1332</v>
      </c>
      <c r="W5" s="18">
        <f>W4*Supuestos!$B$9</f>
        <v>1332</v>
      </c>
      <c r="X5" s="18">
        <f>X4*Supuestos!$B$9</f>
        <v>1332</v>
      </c>
      <c r="Y5" s="18">
        <f>Y4*Supuestos!$B$9</f>
        <v>1332</v>
      </c>
    </row>
    <row r="6">
      <c r="A6" s="2" t="s">
        <v>92</v>
      </c>
      <c r="B6" s="18">
        <f>Supuestos!$B$37</f>
        <v>753.625</v>
      </c>
      <c r="C6" s="18">
        <f>Supuestos!$B$37</f>
        <v>753.625</v>
      </c>
      <c r="D6" s="18">
        <f>Supuestos!$B$37</f>
        <v>753.625</v>
      </c>
      <c r="E6" s="18">
        <f>Supuestos!$B$37</f>
        <v>753.625</v>
      </c>
      <c r="F6" s="18">
        <f>Supuestos!$B$37</f>
        <v>753.625</v>
      </c>
      <c r="G6" s="18">
        <f>Supuestos!$B$37</f>
        <v>753.625</v>
      </c>
      <c r="H6" s="18">
        <f>Supuestos!$B$37</f>
        <v>753.625</v>
      </c>
      <c r="I6" s="18">
        <f>Supuestos!$B$37</f>
        <v>753.625</v>
      </c>
      <c r="J6" s="18">
        <f>Supuestos!$B$37</f>
        <v>753.625</v>
      </c>
      <c r="K6" s="18">
        <f>Supuestos!$B$37</f>
        <v>753.625</v>
      </c>
      <c r="L6" s="18">
        <f>Supuestos!$B$37</f>
        <v>753.625</v>
      </c>
      <c r="M6" s="18">
        <f>Supuestos!$B$37</f>
        <v>753.625</v>
      </c>
      <c r="N6" s="18">
        <f>Supuestos!$B$37</f>
        <v>753.625</v>
      </c>
      <c r="O6" s="18">
        <f>Supuestos!$B$37</f>
        <v>753.625</v>
      </c>
      <c r="P6" s="18">
        <f>Supuestos!$B$37</f>
        <v>753.625</v>
      </c>
      <c r="Q6" s="18">
        <f>Supuestos!$B$37</f>
        <v>753.625</v>
      </c>
      <c r="R6" s="18">
        <f>Supuestos!$B$37</f>
        <v>753.625</v>
      </c>
      <c r="S6" s="18">
        <f>Supuestos!$B$37</f>
        <v>753.625</v>
      </c>
      <c r="T6" s="18">
        <f>Supuestos!$B$37</f>
        <v>753.625</v>
      </c>
      <c r="U6" s="18">
        <f>Supuestos!$B$37</f>
        <v>753.625</v>
      </c>
      <c r="V6" s="18">
        <f>Supuestos!$B$37</f>
        <v>753.625</v>
      </c>
      <c r="W6" s="18">
        <f>Supuestos!$B$37</f>
        <v>753.625</v>
      </c>
      <c r="X6" s="18">
        <f>Supuestos!$B$37</f>
        <v>753.625</v>
      </c>
      <c r="Y6" s="18">
        <f>Supuestos!$B$37</f>
        <v>753.625</v>
      </c>
    </row>
    <row r="7">
      <c r="A7" s="2" t="s">
        <v>101</v>
      </c>
      <c r="B7" s="19">
        <f t="shared" ref="B7:Y7" si="2">B5-B6</f>
        <v>578.375</v>
      </c>
      <c r="C7" s="19">
        <f t="shared" si="2"/>
        <v>578.375</v>
      </c>
      <c r="D7" s="19">
        <f t="shared" si="2"/>
        <v>578.375</v>
      </c>
      <c r="E7" s="19">
        <f t="shared" si="2"/>
        <v>578.375</v>
      </c>
      <c r="F7" s="19">
        <f t="shared" si="2"/>
        <v>578.375</v>
      </c>
      <c r="G7" s="19">
        <f t="shared" si="2"/>
        <v>578.375</v>
      </c>
      <c r="H7" s="19">
        <f t="shared" si="2"/>
        <v>578.375</v>
      </c>
      <c r="I7" s="19">
        <f t="shared" si="2"/>
        <v>578.375</v>
      </c>
      <c r="J7" s="19">
        <f t="shared" si="2"/>
        <v>578.375</v>
      </c>
      <c r="K7" s="19">
        <f t="shared" si="2"/>
        <v>578.375</v>
      </c>
      <c r="L7" s="19">
        <f t="shared" si="2"/>
        <v>578.375</v>
      </c>
      <c r="M7" s="19">
        <f t="shared" si="2"/>
        <v>578.375</v>
      </c>
      <c r="N7" s="19">
        <f t="shared" si="2"/>
        <v>380.375</v>
      </c>
      <c r="O7" s="19">
        <f t="shared" si="2"/>
        <v>425.375</v>
      </c>
      <c r="P7" s="19">
        <f t="shared" si="2"/>
        <v>470.375</v>
      </c>
      <c r="Q7" s="19">
        <f t="shared" si="2"/>
        <v>515.375</v>
      </c>
      <c r="R7" s="19">
        <f t="shared" si="2"/>
        <v>560.375</v>
      </c>
      <c r="S7" s="19">
        <f t="shared" si="2"/>
        <v>578.375</v>
      </c>
      <c r="T7" s="19">
        <f t="shared" si="2"/>
        <v>578.375</v>
      </c>
      <c r="U7" s="19">
        <f t="shared" si="2"/>
        <v>578.375</v>
      </c>
      <c r="V7" s="19">
        <f t="shared" si="2"/>
        <v>578.375</v>
      </c>
      <c r="W7" s="19">
        <f t="shared" si="2"/>
        <v>578.375</v>
      </c>
      <c r="X7" s="19">
        <f t="shared" si="2"/>
        <v>578.375</v>
      </c>
      <c r="Y7" s="19">
        <f t="shared" si="2"/>
        <v>578.375</v>
      </c>
    </row>
    <row r="8">
      <c r="A8" s="2" t="s">
        <v>102</v>
      </c>
      <c r="B8" s="19">
        <f>B7</f>
        <v>578.375</v>
      </c>
      <c r="C8" s="19">
        <f t="shared" ref="C8:Y8" si="3">B8+C7</f>
        <v>1156.75</v>
      </c>
      <c r="D8" s="19">
        <f t="shared" si="3"/>
        <v>1735.125</v>
      </c>
      <c r="E8" s="19">
        <f t="shared" si="3"/>
        <v>2313.5</v>
      </c>
      <c r="F8" s="19">
        <f t="shared" si="3"/>
        <v>2891.875</v>
      </c>
      <c r="G8" s="19">
        <f t="shared" si="3"/>
        <v>3470.25</v>
      </c>
      <c r="H8" s="19">
        <f t="shared" si="3"/>
        <v>4048.625</v>
      </c>
      <c r="I8" s="19">
        <f t="shared" si="3"/>
        <v>4627</v>
      </c>
      <c r="J8" s="19">
        <f t="shared" si="3"/>
        <v>5205.375</v>
      </c>
      <c r="K8" s="19">
        <f t="shared" si="3"/>
        <v>5783.75</v>
      </c>
      <c r="L8" s="19">
        <f t="shared" si="3"/>
        <v>6362.125</v>
      </c>
      <c r="M8" s="19">
        <f t="shared" si="3"/>
        <v>6940.5</v>
      </c>
      <c r="N8" s="19">
        <f t="shared" si="3"/>
        <v>7320.875</v>
      </c>
      <c r="O8" s="19">
        <f t="shared" si="3"/>
        <v>7746.25</v>
      </c>
      <c r="P8" s="19">
        <f t="shared" si="3"/>
        <v>8216.625</v>
      </c>
      <c r="Q8" s="19">
        <f t="shared" si="3"/>
        <v>8732</v>
      </c>
      <c r="R8" s="19">
        <f t="shared" si="3"/>
        <v>9292.375</v>
      </c>
      <c r="S8" s="19">
        <f t="shared" si="3"/>
        <v>9870.75</v>
      </c>
      <c r="T8" s="19">
        <f t="shared" si="3"/>
        <v>10449.125</v>
      </c>
      <c r="U8" s="19">
        <f t="shared" si="3"/>
        <v>11027.5</v>
      </c>
      <c r="V8" s="19">
        <f t="shared" si="3"/>
        <v>11605.875</v>
      </c>
      <c r="W8" s="19">
        <f t="shared" si="3"/>
        <v>12184.25</v>
      </c>
      <c r="X8" s="19">
        <f t="shared" si="3"/>
        <v>12762.625</v>
      </c>
      <c r="Y8" s="19">
        <f t="shared" si="3"/>
        <v>13341</v>
      </c>
    </row>
    <row r="9">
      <c r="A9" s="2" t="s">
        <v>103</v>
      </c>
      <c r="B9" s="6" t="str">
        <f t="shared" ref="B9:Y9" si="4">IF(B7&lt;0,"SI","NO")</f>
        <v>NO</v>
      </c>
      <c r="C9" s="6" t="str">
        <f t="shared" si="4"/>
        <v>NO</v>
      </c>
      <c r="D9" s="6" t="str">
        <f t="shared" si="4"/>
        <v>NO</v>
      </c>
      <c r="E9" s="6" t="str">
        <f t="shared" si="4"/>
        <v>NO</v>
      </c>
      <c r="F9" s="6" t="str">
        <f t="shared" si="4"/>
        <v>NO</v>
      </c>
      <c r="G9" s="6" t="str">
        <f t="shared" si="4"/>
        <v>NO</v>
      </c>
      <c r="H9" s="6" t="str">
        <f t="shared" si="4"/>
        <v>NO</v>
      </c>
      <c r="I9" s="6" t="str">
        <f t="shared" si="4"/>
        <v>NO</v>
      </c>
      <c r="J9" s="6" t="str">
        <f t="shared" si="4"/>
        <v>NO</v>
      </c>
      <c r="K9" s="6" t="str">
        <f t="shared" si="4"/>
        <v>NO</v>
      </c>
      <c r="L9" s="6" t="str">
        <f t="shared" si="4"/>
        <v>NO</v>
      </c>
      <c r="M9" s="6" t="str">
        <f t="shared" si="4"/>
        <v>NO</v>
      </c>
      <c r="N9" s="6" t="str">
        <f t="shared" si="4"/>
        <v>NO</v>
      </c>
      <c r="O9" s="6" t="str">
        <f t="shared" si="4"/>
        <v>NO</v>
      </c>
      <c r="P9" s="6" t="str">
        <f t="shared" si="4"/>
        <v>NO</v>
      </c>
      <c r="Q9" s="6" t="str">
        <f t="shared" si="4"/>
        <v>NO</v>
      </c>
      <c r="R9" s="6" t="str">
        <f t="shared" si="4"/>
        <v>NO</v>
      </c>
      <c r="S9" s="6" t="str">
        <f t="shared" si="4"/>
        <v>NO</v>
      </c>
      <c r="T9" s="6" t="str">
        <f t="shared" si="4"/>
        <v>NO</v>
      </c>
      <c r="U9" s="6" t="str">
        <f t="shared" si="4"/>
        <v>NO</v>
      </c>
      <c r="V9" s="6" t="str">
        <f t="shared" si="4"/>
        <v>NO</v>
      </c>
      <c r="W9" s="6" t="str">
        <f t="shared" si="4"/>
        <v>NO</v>
      </c>
      <c r="X9" s="6" t="str">
        <f t="shared" si="4"/>
        <v>NO</v>
      </c>
      <c r="Y9" s="6" t="str">
        <f t="shared" si="4"/>
        <v>NO</v>
      </c>
    </row>
    <row r="11">
      <c r="A11" s="30" t="s">
        <v>104</v>
      </c>
    </row>
    <row r="12">
      <c r="A12" s="2" t="s">
        <v>105</v>
      </c>
      <c r="B12" s="18">
        <f t="shared" ref="B12:M12" si="5">B6</f>
        <v>753.625</v>
      </c>
      <c r="C12" s="18">
        <f t="shared" si="5"/>
        <v>753.625</v>
      </c>
      <c r="D12" s="18">
        <f t="shared" si="5"/>
        <v>753.625</v>
      </c>
      <c r="E12" s="18">
        <f t="shared" si="5"/>
        <v>753.625</v>
      </c>
      <c r="F12" s="18">
        <f t="shared" si="5"/>
        <v>753.625</v>
      </c>
      <c r="G12" s="18">
        <f t="shared" si="5"/>
        <v>753.625</v>
      </c>
      <c r="H12" s="18">
        <f t="shared" si="5"/>
        <v>753.625</v>
      </c>
      <c r="I12" s="18">
        <f t="shared" si="5"/>
        <v>753.625</v>
      </c>
      <c r="J12" s="18">
        <f t="shared" si="5"/>
        <v>753.625</v>
      </c>
      <c r="K12" s="18">
        <f t="shared" si="5"/>
        <v>753.625</v>
      </c>
      <c r="L12" s="18">
        <f t="shared" si="5"/>
        <v>753.625</v>
      </c>
      <c r="M12" s="18">
        <f t="shared" si="5"/>
        <v>753.625</v>
      </c>
      <c r="N12" s="18">
        <f>Supuestos!$B$37*(1+Supuestos!$B$50)</f>
        <v>828.9875</v>
      </c>
      <c r="O12" s="18">
        <f>Supuestos!$B$37*(1+Supuestos!$B$50)</f>
        <v>828.9875</v>
      </c>
      <c r="P12" s="18">
        <f>Supuestos!$B$37*(1+Supuestos!$B$50)</f>
        <v>828.9875</v>
      </c>
      <c r="Q12" s="18">
        <f>Supuestos!$B$37*(1+Supuestos!$B$50)</f>
        <v>828.9875</v>
      </c>
      <c r="R12" s="18">
        <f>Supuestos!$B$37*(1+Supuestos!$B$50)</f>
        <v>828.9875</v>
      </c>
      <c r="S12" s="18">
        <f>Supuestos!$B$37*(1+Supuestos!$B$50)</f>
        <v>828.9875</v>
      </c>
      <c r="T12" s="18">
        <f>Supuestos!$B$37*(1+Supuestos!$B$50)</f>
        <v>828.9875</v>
      </c>
      <c r="U12" s="18">
        <f>Supuestos!$B$37*(1+Supuestos!$B$50)</f>
        <v>828.9875</v>
      </c>
      <c r="V12" s="18">
        <f>Supuestos!$B$37*(1+Supuestos!$B$50)</f>
        <v>828.9875</v>
      </c>
      <c r="W12" s="18">
        <f>Supuestos!$B$37*(1+Supuestos!$B$50)</f>
        <v>828.9875</v>
      </c>
      <c r="X12" s="18">
        <f>Supuestos!$B$37*(1+Supuestos!$B$50)</f>
        <v>828.9875</v>
      </c>
      <c r="Y12" s="18">
        <f>Supuestos!$B$37*(1+Supuestos!$B$50)</f>
        <v>828.9875</v>
      </c>
    </row>
    <row r="13">
      <c r="A13" s="2" t="s">
        <v>106</v>
      </c>
      <c r="B13" s="19">
        <f t="shared" ref="B13:Y13" si="6">B5-B12</f>
        <v>578.375</v>
      </c>
      <c r="C13" s="19">
        <f t="shared" si="6"/>
        <v>578.375</v>
      </c>
      <c r="D13" s="19">
        <f t="shared" si="6"/>
        <v>578.375</v>
      </c>
      <c r="E13" s="19">
        <f t="shared" si="6"/>
        <v>578.375</v>
      </c>
      <c r="F13" s="19">
        <f t="shared" si="6"/>
        <v>578.375</v>
      </c>
      <c r="G13" s="19">
        <f t="shared" si="6"/>
        <v>578.375</v>
      </c>
      <c r="H13" s="19">
        <f t="shared" si="6"/>
        <v>578.375</v>
      </c>
      <c r="I13" s="19">
        <f t="shared" si="6"/>
        <v>578.375</v>
      </c>
      <c r="J13" s="19">
        <f t="shared" si="6"/>
        <v>578.375</v>
      </c>
      <c r="K13" s="19">
        <f t="shared" si="6"/>
        <v>578.375</v>
      </c>
      <c r="L13" s="19">
        <f t="shared" si="6"/>
        <v>578.375</v>
      </c>
      <c r="M13" s="19">
        <f t="shared" si="6"/>
        <v>578.375</v>
      </c>
      <c r="N13" s="19">
        <f t="shared" si="6"/>
        <v>305.0125</v>
      </c>
      <c r="O13" s="19">
        <f t="shared" si="6"/>
        <v>350.0125</v>
      </c>
      <c r="P13" s="19">
        <f t="shared" si="6"/>
        <v>395.0125</v>
      </c>
      <c r="Q13" s="19">
        <f t="shared" si="6"/>
        <v>440.0125</v>
      </c>
      <c r="R13" s="19">
        <f t="shared" si="6"/>
        <v>485.0125</v>
      </c>
      <c r="S13" s="19">
        <f t="shared" si="6"/>
        <v>503.0125</v>
      </c>
      <c r="T13" s="19">
        <f t="shared" si="6"/>
        <v>503.0125</v>
      </c>
      <c r="U13" s="19">
        <f t="shared" si="6"/>
        <v>503.0125</v>
      </c>
      <c r="V13" s="19">
        <f t="shared" si="6"/>
        <v>503.0125</v>
      </c>
      <c r="W13" s="19">
        <f t="shared" si="6"/>
        <v>503.0125</v>
      </c>
      <c r="X13" s="19">
        <f t="shared" si="6"/>
        <v>503.0125</v>
      </c>
      <c r="Y13" s="19">
        <f t="shared" si="6"/>
        <v>503.0125</v>
      </c>
    </row>
    <row r="14">
      <c r="A14" s="2" t="s">
        <v>107</v>
      </c>
      <c r="B14" s="19">
        <f>B13</f>
        <v>578.375</v>
      </c>
      <c r="C14" s="19">
        <f t="shared" ref="C14:Y14" si="7">B14+C13</f>
        <v>1156.75</v>
      </c>
      <c r="D14" s="19">
        <f t="shared" si="7"/>
        <v>1735.125</v>
      </c>
      <c r="E14" s="19">
        <f t="shared" si="7"/>
        <v>2313.5</v>
      </c>
      <c r="F14" s="19">
        <f t="shared" si="7"/>
        <v>2891.875</v>
      </c>
      <c r="G14" s="19">
        <f t="shared" si="7"/>
        <v>3470.25</v>
      </c>
      <c r="H14" s="19">
        <f t="shared" si="7"/>
        <v>4048.625</v>
      </c>
      <c r="I14" s="19">
        <f t="shared" si="7"/>
        <v>4627</v>
      </c>
      <c r="J14" s="19">
        <f t="shared" si="7"/>
        <v>5205.375</v>
      </c>
      <c r="K14" s="19">
        <f t="shared" si="7"/>
        <v>5783.75</v>
      </c>
      <c r="L14" s="19">
        <f t="shared" si="7"/>
        <v>6362.125</v>
      </c>
      <c r="M14" s="19">
        <f t="shared" si="7"/>
        <v>6940.5</v>
      </c>
      <c r="N14" s="19">
        <f t="shared" si="7"/>
        <v>7245.5125</v>
      </c>
      <c r="O14" s="19">
        <f t="shared" si="7"/>
        <v>7595.525</v>
      </c>
      <c r="P14" s="19">
        <f t="shared" si="7"/>
        <v>7990.5375</v>
      </c>
      <c r="Q14" s="19">
        <f t="shared" si="7"/>
        <v>8430.55</v>
      </c>
      <c r="R14" s="19">
        <f t="shared" si="7"/>
        <v>8915.5625</v>
      </c>
      <c r="S14" s="19">
        <f t="shared" si="7"/>
        <v>9418.575</v>
      </c>
      <c r="T14" s="19">
        <f t="shared" si="7"/>
        <v>9921.5875</v>
      </c>
      <c r="U14" s="19">
        <f t="shared" si="7"/>
        <v>10424.6</v>
      </c>
      <c r="V14" s="19">
        <f t="shared" si="7"/>
        <v>10927.6125</v>
      </c>
      <c r="W14" s="19">
        <f t="shared" si="7"/>
        <v>11430.625</v>
      </c>
      <c r="X14" s="19">
        <f t="shared" si="7"/>
        <v>11933.6375</v>
      </c>
      <c r="Y14" s="19">
        <f t="shared" si="7"/>
        <v>12436.65</v>
      </c>
    </row>
    <row r="15">
      <c r="A15" s="2" t="s">
        <v>108</v>
      </c>
      <c r="B15" s="6" t="str">
        <f t="shared" ref="B15:Y15" si="8">IF(B13&lt;0,"SI","NO")</f>
        <v>NO</v>
      </c>
      <c r="C15" s="6" t="str">
        <f t="shared" si="8"/>
        <v>NO</v>
      </c>
      <c r="D15" s="6" t="str">
        <f t="shared" si="8"/>
        <v>NO</v>
      </c>
      <c r="E15" s="6" t="str">
        <f t="shared" si="8"/>
        <v>NO</v>
      </c>
      <c r="F15" s="6" t="str">
        <f t="shared" si="8"/>
        <v>NO</v>
      </c>
      <c r="G15" s="6" t="str">
        <f t="shared" si="8"/>
        <v>NO</v>
      </c>
      <c r="H15" s="6" t="str">
        <f t="shared" si="8"/>
        <v>NO</v>
      </c>
      <c r="I15" s="6" t="str">
        <f t="shared" si="8"/>
        <v>NO</v>
      </c>
      <c r="J15" s="6" t="str">
        <f t="shared" si="8"/>
        <v>NO</v>
      </c>
      <c r="K15" s="6" t="str">
        <f t="shared" si="8"/>
        <v>NO</v>
      </c>
      <c r="L15" s="6" t="str">
        <f t="shared" si="8"/>
        <v>NO</v>
      </c>
      <c r="M15" s="6" t="str">
        <f t="shared" si="8"/>
        <v>NO</v>
      </c>
      <c r="N15" s="6" t="str">
        <f t="shared" si="8"/>
        <v>NO</v>
      </c>
      <c r="O15" s="6" t="str">
        <f t="shared" si="8"/>
        <v>NO</v>
      </c>
      <c r="P15" s="6" t="str">
        <f t="shared" si="8"/>
        <v>NO</v>
      </c>
      <c r="Q15" s="6" t="str">
        <f t="shared" si="8"/>
        <v>NO</v>
      </c>
      <c r="R15" s="6" t="str">
        <f t="shared" si="8"/>
        <v>NO</v>
      </c>
      <c r="S15" s="6" t="str">
        <f t="shared" si="8"/>
        <v>NO</v>
      </c>
      <c r="T15" s="6" t="str">
        <f t="shared" si="8"/>
        <v>NO</v>
      </c>
      <c r="U15" s="6" t="str">
        <f t="shared" si="8"/>
        <v>NO</v>
      </c>
      <c r="V15" s="6" t="str">
        <f t="shared" si="8"/>
        <v>NO</v>
      </c>
      <c r="W15" s="6" t="str">
        <f t="shared" si="8"/>
        <v>NO</v>
      </c>
      <c r="X15" s="6" t="str">
        <f t="shared" si="8"/>
        <v>NO</v>
      </c>
      <c r="Y15" s="6" t="str">
        <f t="shared" si="8"/>
        <v>NO</v>
      </c>
    </row>
    <row r="17">
      <c r="A17" s="2" t="s">
        <v>109</v>
      </c>
      <c r="B17" s="31" t="str">
        <f>IFERROR(MATCH("SI",B9:Y9,0),"Ninguno (sin déficit en 24 meses)")</f>
        <v>Ninguno (sin déficit en 24 meses)</v>
      </c>
    </row>
    <row r="18">
      <c r="A18" s="2" t="s">
        <v>110</v>
      </c>
      <c r="B18" s="31" t="str">
        <f>IFERROR(MATCH("SI",B15:Y15,0),"Ninguno (sin déficit en 24 meses)")</f>
        <v>Ninguno (sin déficit en 24 meses)</v>
      </c>
    </row>
    <row r="19">
      <c r="A19" s="2" t="s">
        <v>111</v>
      </c>
      <c r="B19" s="32">
        <f>Y8</f>
        <v>13341</v>
      </c>
    </row>
    <row r="20">
      <c r="A20" s="2" t="s">
        <v>112</v>
      </c>
      <c r="B20" s="32">
        <f>Y14</f>
        <v>12436.65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2026-09-10T20:55:34Z</dcterms:created>
  <dc:creator>openpyxl</dc:creator>
</cp:coreProperties>
</file>

<file path=docProps/custom.xml><?xml version="1.0" encoding="utf-8"?>
<Properties xmlns="http://schemas.openxmlformats.org/officeDocument/2006/custom-properties" xmlns:vt="http://schemas.openxmlformats.org/officeDocument/2006/docPropsVTypes"/>
</file>